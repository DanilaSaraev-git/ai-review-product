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ITMO\GIT\MTS\"/>
    </mc:Choice>
  </mc:AlternateContent>
  <xr:revisionPtr revIDLastSave="0" documentId="13_ncr:1_{6A5ECD52-3802-4D95-A322-CEE23437CB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База ставок" sheetId="1" r:id="rId1"/>
    <sheet name="Исходные данные" sheetId="2" r:id="rId2"/>
    <sheet name="Экономический эффект" sheetId="3" r:id="rId3"/>
    <sheet name="Внедрение и эксплуатация" sheetId="4" r:id="rId4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<sst xmlns="http://schemas.openxmlformats.org/spreadsheetml/2006/main" count="149" uniqueCount="131">
  <si>
    <t>Показатель</t>
  </si>
  <si>
    <t>Значение</t>
  </si>
  <si>
    <t>Основание</t>
  </si>
  <si>
    <t>Медианная зарплата Middle системного аналитика, ₽/мес до НДФЛ</t>
  </si>
  <si>
    <t>Хабр Карьера, страница «Системный аналитик, Middle», 1 219 анкет; сверено 2026-09-05</t>
  </si>
  <si>
    <t>Медианная зарплата Middle бэкенд-разработчика, ₽/мес до НДФЛ</t>
  </si>
  <si>
    <t>Хабр Карьера, страница «Бэкенд разработчик, Middle», 3 449 анкет; сверено 2026-09-05</t>
  </si>
  <si>
    <t>Ставка страховых взносов работодателя</t>
  </si>
  <si>
    <t>Единый тариф 30 % до предельной базы; для аккредитованной ИТ-компании ставится 7,6 %</t>
  </si>
  <si>
    <t>Годовая норма рабочего времени, ч</t>
  </si>
  <si>
    <t>Производственный календарь 2026, 40-часовая неделя, 247 рабочих дней</t>
  </si>
  <si>
    <t>Среднемесячная норма рабочего времени, ч</t>
  </si>
  <si>
    <t>Годовая норма, делённая на 12</t>
  </si>
  <si>
    <t>Стоимость часа аналитика</t>
  </si>
  <si>
    <t>Зарплата с взносами, делённая на месячную норму часов</t>
  </si>
  <si>
    <t>Стоимость часа разработчика</t>
  </si>
  <si>
    <t>Стоимость часа = медианная зарплата × (1 + ставка взносов) ÷ среднемесячная норма часов. Это полная стоимость часа для работодателя, а не выплата сотруднику.</t>
  </si>
  <si>
    <t>Премии, накладные расходы, отпускные сверх нормы и региональные надбавки в расчёт не входят.</t>
  </si>
  <si>
    <t>Значения являются рыночными медианами, а не подтверждёнными ставками MTS. Разбор и ограничения — knowledge/economics.md.</t>
  </si>
  <si>
    <t>ТЗ на разработку/доработку, шт.</t>
  </si>
  <si>
    <t>Доля ТЗ, попадающих на повторное ревью</t>
  </si>
  <si>
    <t>Первичное ревью: трудозатраты аналитика, ч</t>
  </si>
  <si>
    <t>Первичное ревью: трудозатраты разработчика, ч</t>
  </si>
  <si>
    <t>Повторное ревью: трудозатраты аналитика, ч</t>
  </si>
  <si>
    <t>Повторное ревью: трудозатраты разработчика, ч</t>
  </si>
  <si>
    <t>Сокращение трудозатрат аналитика на ревью</t>
  </si>
  <si>
    <t>Сокращение трудозатрат разработчика на ревью</t>
  </si>
  <si>
    <t>Сокращение доли повторных ревью</t>
  </si>
  <si>
    <t>Первичное ревью автор делает сам, поэтому трудозатраты разработчика на нём равны нулю.</t>
  </si>
  <si>
    <t>Разработчик появляется только на повторном ревью: он обнаружил неясность и вернул ТЗ.</t>
  </si>
  <si>
    <t>Показатель (мес.)</t>
  </si>
  <si>
    <t>До</t>
  </si>
  <si>
    <t>После</t>
  </si>
  <si>
    <t>ПЕРВИЧНОЕ РЕВЬЮ (проходят все ТЗ)</t>
  </si>
  <si>
    <t>Трудозатраты аналитика, ч</t>
  </si>
  <si>
    <t>Трудозатраты разработчика, ч</t>
  </si>
  <si>
    <t>Стоимость одного первичного ревью</t>
  </si>
  <si>
    <t>ТЗ, шт.</t>
  </si>
  <si>
    <t>Затраты на первичное ревью, ₽/мес</t>
  </si>
  <si>
    <t>ПОВТОРНОЕ РЕВЬЮ (только возвращённые ТЗ)</t>
  </si>
  <si>
    <t>Доля ТЗ на повторное ревью</t>
  </si>
  <si>
    <t>Стоимость одного повторного ревью</t>
  </si>
  <si>
    <t>Затраты на повторное ревью, ₽/мес</t>
  </si>
  <si>
    <t>ИТОГО</t>
  </si>
  <si>
    <t>Итого затраты на ревью, ₽/мес</t>
  </si>
  <si>
    <t>Эффект, ₽/мес</t>
  </si>
  <si>
    <t>Эффект, ₽/год</t>
  </si>
  <si>
    <t>Часы аналитика, ч/мес</t>
  </si>
  <si>
    <t>Часы разработчика, ч/мес</t>
  </si>
  <si>
    <t>Итого часов команды, ч/мес</t>
  </si>
  <si>
    <t>Высвобождается часов, ч/мес</t>
  </si>
  <si>
    <t>Высвобождается часов, ч/год</t>
  </si>
  <si>
    <t>Как устроен расчёт</t>
  </si>
  <si>
    <t>До внедрения каждое ТЗ проходит первичное ревью перед отправкой разработчику. Его делает автор, поэтому трудозатраты разработчика на этом проходе равны нулю.</t>
  </si>
  <si>
    <t>Часть ТЗ разработчик возвращает. Повторное ревью стоит дороже первичного, потому что к часам аналитика добавляются часы разработчика, который обнаружил неясность и описал её.</t>
  </si>
  <si>
    <t>После внедрения инструмент действует на два показателя сразу: одно ревью обходится дешевле и доля ТЗ, попадающих на повторное ревью, сокращается.</t>
  </si>
  <si>
    <t>Время аналитика на запуск проверки и разбор отчёта отдельной строкой не выделено — оно учтено внутри сокращения трудозатрат, то есть сокращение является чистым, за вычетом новой работы с отчётом.</t>
  </si>
  <si>
    <t>Статус значений</t>
  </si>
  <si>
    <t>Сокращение трудозатрат на ревью и сокращение доли повторных ревью являются условными допущениями, а не измерениями. Они подлежат замене результатами тестовых замеров ревью до и после.</t>
  </si>
  <si>
    <t>Расчёт не учитывает стоимость вычислительных ресурсов, поддержку профиля проверок, внедрение и изменение регламента, а также стоимость самой задержки разработки.</t>
  </si>
  <si>
    <t>Разбор модели и её ограничения — knowledge/economics.md.</t>
  </si>
  <si>
    <t>Медианная зарплата Middle DevOps-инженера, ₽/мес до НДФЛ</t>
  </si>
  <si>
    <t>Хабр Карьера, страница «DevOps-инженер, Middle»; сверено 2026-09-06</t>
  </si>
  <si>
    <t>Стоимость часа DevOps-инженера</t>
  </si>
  <si>
    <t>ЦЕНЫ (публичные прайсы МТС и рыночные медианы)</t>
  </si>
  <si>
    <t>Цена 1 vCPU, ₽/мес</t>
  </si>
  <si>
    <t>MWS Cloud Platform, тариф base с 01.08.2026, цена за месяц с НДС 22 %</t>
  </si>
  <si>
    <t>Цена 1 ГБ RAM, ₽/мес</t>
  </si>
  <si>
    <t>Цена 1 ГБ диска NBS-PL2, ₽/мес</t>
  </si>
  <si>
    <t>Справочно: цена 1 млн входных токенов, ₽</t>
  </si>
  <si>
    <t>MWS GPT Model Hub, модель qwen3.6-35b-a3b, с НДС 22 %. Справочно: платный инференс не используется</t>
  </si>
  <si>
    <t>Справочно: цена 1 млн выходных токенов, ₽</t>
  </si>
  <si>
    <t>Стоимость часа DevOps-инженера, ₽</t>
  </si>
  <si>
    <t>Медиана Middle DevOps с взносами, вкладка «База ставок»</t>
  </si>
  <si>
    <t>Стоимость часа аналитика, ₽</t>
  </si>
  <si>
    <t>Медиана Middle системного аналитика с взносами, вкладка «База ставок»</t>
  </si>
  <si>
    <t>КОНФИГУРАЦИЯ РАЗВЁРНУТОГО РЕШЕНИЯ</t>
  </si>
  <si>
    <t>vCPU, шт.</t>
  </si>
  <si>
    <t>Одна ВМ на веб, API, обработчик и базу. Модель на этой машине не работает. Допущение при нагрузке в 10 ТЗ в месяц</t>
  </si>
  <si>
    <t>RAM, ГБ</t>
  </si>
  <si>
    <t>Допущение</t>
  </si>
  <si>
    <t>Диск, ГБ</t>
  </si>
  <si>
    <t>Документы, отчёты и база запусков. Допущение</t>
  </si>
  <si>
    <t>Прогонов ревью в месяц, шт.</t>
  </si>
  <si>
    <t>10 ТЗ из «Исходных данных» плюс повторные прогоны после правок. Допущение</t>
  </si>
  <si>
    <t>Справочно: входных токенов на прогон, тыс.</t>
  </si>
  <si>
    <t>Документ 10 страниц с контекстом и профилем проходит через модель дважды: work items с перекрытием и synthesis</t>
  </si>
  <si>
    <t>Справочно: выходных токенов на прогон, тыс.</t>
  </si>
  <si>
    <t>Замечания с цитатами и промежуточные ответы</t>
  </si>
  <si>
    <t>ВНЕДРЕНИЕ (единовременно, силами МТС)</t>
  </si>
  <si>
    <t>Согласование с ИБ и заведение сервиса в контур, ч</t>
  </si>
  <si>
    <t>Единственное допущение расчёта: 80 часов трудозатрат МТС. Ориентир — оценка кейсодателя «месяц» на интеграцию MCP-сервера в закрытый контур</t>
  </si>
  <si>
    <t>Подключение к LLM команды и проверка сценария, ч</t>
  </si>
  <si>
    <t>Часть тех же 80 часов. Модель не разворачивается: инструмент встраивается в существующий workflow команды с её LLM</t>
  </si>
  <si>
    <t>Настройка профиля проверки и контекста проекта, ч</t>
  </si>
  <si>
    <t>Часть тех же 80 часов. Кто это делает на практике — открытый вопрос D-16</t>
  </si>
  <si>
    <t>Дополнение регламента разработки ТЗ и обучение команды, ч</t>
  </si>
  <si>
    <t>Часть тех же 80 часов. Необходимость дополнения регламента — D-15</t>
  </si>
  <si>
    <t>Итого часов</t>
  </si>
  <si>
    <t>Итого внедрение, ₽</t>
  </si>
  <si>
    <t>Часы ИБ и подключения по ставке DevOps, настройка и регламент — по ставке аналитика</t>
  </si>
  <si>
    <t>ЭКСПЛУАТАЦИЯ (ежемесячно)</t>
  </si>
  <si>
    <t>Инфраструктура, ₽/мес</t>
  </si>
  <si>
    <t>ВМ под сам сервис ревью по публичному прайсу MWS. Не зависит от того, где работает модель</t>
  </si>
  <si>
    <t>Инференс LLM, ₽/мес</t>
  </si>
  <si>
    <t>Ноль: инструмент работает на уже развёрнутой LLM команды, отдельная модель не разворачивается. Возникает нагрузка на существующий контур, а не платёж</t>
  </si>
  <si>
    <t>Справочно: инференс при платной модели, ₽/мес</t>
  </si>
  <si>
    <t>Во что обошёлся бы тот же объём прогонов по прайсу MWS GPT. В итог не входит</t>
  </si>
  <si>
    <t>Сопровождение DevOps, ч/мес</t>
  </si>
  <si>
    <t>Обновления, мониторинг, разбор инцидентов. Допущение</t>
  </si>
  <si>
    <t>Поддержка профиля и контекста аналитиком, ч/мес</t>
  </si>
  <si>
    <t>Актуализация профиля проверки под изменения шаблонов и схем. Допущение</t>
  </si>
  <si>
    <t>Сопровождение, ₽/мес</t>
  </si>
  <si>
    <t>Итого эксплуатация, ₽/мес</t>
  </si>
  <si>
    <t>Итого эксплуатация, ₽/год</t>
  </si>
  <si>
    <t>СВОДКА ПО ОДНОЙ КОМАНДЕ</t>
  </si>
  <si>
    <t>Валовый эффект от ревью, ₽/мес</t>
  </si>
  <si>
    <t>Вкладка «Экономический эффект»</t>
  </si>
  <si>
    <t>Чистый эффект, ₽/мес</t>
  </si>
  <si>
    <t>Валовый эффект за вычетом эксплуатации</t>
  </si>
  <si>
    <t>Чистый эффект, ₽/год</t>
  </si>
  <si>
    <t>Окупаемость внедрения, мес</t>
  </si>
  <si>
    <t>Затраты на внедрение, делённые на чистый эффект за месяц</t>
  </si>
  <si>
    <t>Итог первого года, ₽</t>
  </si>
  <si>
    <t>Годовой чистый эффект минус разовые затраты на внедрение</t>
  </si>
  <si>
    <t>Расчёт охватывает только затраты МТС. Разработка решения нашей командой в него не входит по условию задачи.</t>
  </si>
  <si>
    <t>Инструмент встраивается в обычный workflow команды с её LLM, поэтому отдельная модель не разворачивается и платного инференса нет. Внедрение идёт в одну команду.</t>
  </si>
  <si>
    <t>Единственное содержательное допущение по трудозатратам — 80 часов на внедрение. Оно опирается на оценку кейсодателя «месяц» на интеграцию MCP-сервера в закрытый контур; веб-сервис во внутреннем контуре по гипотезе 2.2 должен обходиться дешевле, поэтому 80 часов — скорее верхняя граница.</t>
  </si>
  <si>
    <t>Инфраструктура считается по публичному прайсу МТС, а не по внутренней себестоимости, которая ниже. Реальные затраты внутри контура компании будут меньше, а при размещении сервиса на уже оплаченных мощностях контура эта строка может исчезнуть совсем.</t>
  </si>
  <si>
    <t>Доминирующая статья эксплуатации — сопровождение: 10 526 ₽ из 16 550 ₽, то есть 64 %. Инфраструктура и вычисления второстепенны.</t>
  </si>
  <si>
    <t>Валовый эффект берётся из вкладки «Экономический эффект» и сам построен на незамеренных допущениях. Итог этого расчёта не является подтверждённой экономией.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</si>
</sst>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11">
    <xf numFmtId="0" fontId="0" fillId="0" borderId="0" xfId="0"/>
    <xf numFmtId="9" fontId="0" fillId="0" borderId="0" xfId="2" applyFont="1"/>
    <xf numFmtId="0" fontId="2" fillId="0" borderId="0" xfId="0" applyFont="1"/>
    <xf numFmtId="2" fontId="0" fillId="0" borderId="0" xfId="0" applyNumberFormat="1"/>
    <xf numFmtId="9" fontId="0" fillId="0" borderId="0" xfId="0" applyNumberFormat="1"/>
    <xf numFmtId="44" fontId="0" fillId="0" borderId="0" xfId="1" applyFont="1"/>
    <xf numFmtId="44" fontId="0" fillId="0" borderId="0" xfId="0" applyNumberFormat="1"/>
    <xf numFmtId="0" fontId="3" fillId="0" borderId="0" xfId="0" applyFont="1"/>
    <xf numFmtId="2" fontId="3" fillId="0" borderId="0" xfId="0" applyNumberFormat="1" applyFont="1"/>
    <xf numFmtId="164" fontId="0" fillId="0" borderId="0" xfId="0" applyNumberFormat="1"/>
    <xf numFmtId="44" fontId="3" fillId="0" borderId="0" xfId="0" applyNumberFormat="1" applyFont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4.4" x14ac:dyDescent="0.3"/>
  <cols>
    <col min="1" max="1" width="52" customWidth="1"/>
    <col min="2" max="2" width="14" customWidth="1"/>
    <col min="3" max="3" width="72" customWidth="1"/>
  </cols>
  <sheetData>
    <row r="1" spans="1:3">
      <c r="A1" s="2" t="inlineStr">
        <is>
          <t xml:space="preserve">Показатель</t>
        </is>
      </c>
      <c r="B1" s="2" t="inlineStr">
        <is>
          <t xml:space="preserve">Значение</t>
        </is>
      </c>
      <c r="C1" s="2" t="inlineStr">
        <is>
          <t xml:space="preserve">Основание</t>
        </is>
      </c>
    </row>
    <row r="2" spans="1:3">
      <c r="A2" t="inlineStr">
        <is>
          <t xml:space="preserve">Медианная зарплата Middle системного аналитика, ₽/мес до НДФЛ</t>
        </is>
      </c>
      <c r="B2" s="5">
        <v>204441.0</v>
      </c>
      <c r="C2" t="inlineStr">
        <is>
          <t xml:space="preserve">Хабр Карьера, страница «Системный аналитик, Middle», 1 219 анкет; сверено 2026-09-05</t>
        </is>
      </c>
    </row>
    <row r="3" spans="1:3">
      <c r="A3" t="inlineStr">
        <is>
          <t xml:space="preserve">Медианная зарплата Middle бэкенд-разработчика, ₽/мес до НДФЛ</t>
        </is>
      </c>
      <c r="B3" s="5">
        <v>220833.0</v>
      </c>
      <c r="C3" t="inlineStr">
        <is>
          <t xml:space="preserve">Хабр Карьера, страница «Бэкенд разработчик, Middle», 3 449 анкет; сверено 2026-09-05</t>
        </is>
      </c>
    </row>
    <row r="4" spans="1:3">
      <c r="A4" t="inlineStr">
        <is>
          <t xml:space="preserve">Ставка страховых взносов работодателя</t>
        </is>
      </c>
      <c r="B4" s="1">
        <v>0.3</v>
      </c>
      <c r="C4" t="inlineStr">
        <is>
          <t xml:space="preserve">Единый тариф 30 % до предельной базы; для аккредитованной ИТ-компании ставится 7,6 %</t>
        </is>
      </c>
    </row>
    <row r="5" spans="1:3">
      <c r="A5" t="inlineStr">
        <is>
          <t xml:space="preserve">Годовая норма рабочего времени, ч</t>
        </is>
      </c>
      <c r="B5">
        <v>1972.0</v>
      </c>
      <c r="C5" t="inlineStr">
        <is>
          <t xml:space="preserve">Производственный календарь 2026, 40-часовая неделя, 247 рабочих дней</t>
        </is>
      </c>
    </row>
    <row r="6" spans="1:3">
      <c r="A6" t="inlineStr">
        <is>
          <t xml:space="preserve">Среднемесячная норма рабочего времени, ч</t>
        </is>
      </c>
      <c r="B6" s="3">
        <f>B5/12</f>
        <v>164.33333333333334</v>
      </c>
      <c r="C6" t="inlineStr">
        <is>
          <t xml:space="preserve">Годовая норма, делённая на 12</t>
        </is>
      </c>
    </row>
    <row r="7" spans="1:3">
      <c r="A7" t="inlineStr">
        <is>
          <t xml:space="preserve">Стоимость часа аналитика</t>
        </is>
      </c>
      <c r="B7" s="5">
        <f>ROUND(B2*(1+B4)/B6,0)</f>
        <v>1617.0</v>
      </c>
      <c r="C7" t="inlineStr">
        <is>
          <t xml:space="preserve">Зарплата с взносами, делённая на месячную норму часов</t>
        </is>
      </c>
    </row>
    <row r="8" spans="1:3">
      <c r="A8" t="inlineStr">
        <is>
          <t xml:space="preserve">Стоимость часа разработчика</t>
        </is>
      </c>
      <c r="B8" s="5">
        <f>ROUND(B3*(1+B4)/B6,0)</f>
        <v>1747.0</v>
      </c>
      <c r="C8" t="inlineStr">
        <is>
          <t xml:space="preserve">Зарплата с взносами, делённая на месячную норму часов</t>
        </is>
      </c>
    </row>
    <row r="9" spans="1:3">
      <c r="A9" t="inlineStr">
        <is>
          <t xml:space="preserve">Медианная зарплата Middle DevOps-инженера, ₽/мес до НДФЛ</t>
        </is>
      </c>
      <c r="B9" s="5">
        <v>230500.0</v>
      </c>
      <c r="C9" t="inlineStr">
        <is>
          <t xml:space="preserve">Хабр Карьера, страница «DevOps-инженер, Middle»; сверено 2026-09-06</t>
        </is>
      </c>
    </row>
    <row r="10" spans="1:3">
      <c r="A10" t="inlineStr">
        <is>
          <t xml:space="preserve">Стоимость часа DevOps-инженера</t>
        </is>
      </c>
      <c r="B10" s="5">
        <f>ROUND(B9*(1+B4)/B6,0)</f>
        <v>1823.0</v>
      </c>
      <c r="C10" t="inlineStr">
        <is>
          <t xml:space="preserve">Зарплата с взносами, делённая на месячную норму часов</t>
        </is>
      </c>
    </row>
    <row r="12" spans="1:3">
      <c r="A12" t="inlineStr">
        <is>
          <t xml:space="preserve">Стоимость часа = медианная зарплата × (1 + ставка взносов) ÷ среднемесячная норма часов. Это полная стоимость часа для работодателя, а не выплата сотруднику.</t>
        </is>
      </c>
    </row>
    <row r="13" spans="1:3">
      <c r="A13" t="inlineStr">
        <is>
          <t xml:space="preserve">Премии, накладные расходы, отпускные сверх нормы и региональные надбавки в расчёт не входят.</t>
        </is>
      </c>
    </row>
    <row r="14" spans="1:3">
      <c r="A14" t="inlineStr">
        <is>
          <t xml:space="preserve">Значения являются рыночными медианами, а не подтверждёнными ставками MTS. Разбор и ограничения — knowledge/economics.md.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12" sqref="B12"/>
    </sheetView>
  </sheetViews>
  <sheetFormatPr defaultRowHeight="14.4" x14ac:dyDescent="0.3"/>
  <cols>
    <col min="1" max="1" width="46" customWidth="1"/>
    <col min="2" max="2" width="14" customWidth="1"/>
  </cols>
  <sheetData>
    <row r="1" spans="1:2" x14ac:dyDescent="0.3">
      <c r="A1" s="7" t="s">
        <v>0</v>
      </c>
      <c r="B1" s="7" t="s">
        <v>1</v>
      </c>
    </row>
    <row r="2" spans="1:2" x14ac:dyDescent="0.3">
      <c r="A2" t="s">
        <v>19</v>
      </c>
      <c r="B2" s="9">
        <v>10</v>
      </c>
    </row>
    <row r="3" spans="1:2" x14ac:dyDescent="0.3">
      <c r="A3" t="s">
        <v>20</v>
      </c>
      <c r="B3" s="4">
        <v>0.4</v>
      </c>
    </row>
    <row r="4" spans="1:2" x14ac:dyDescent="0.3">
      <c r="A4" t="s">
        <v>21</v>
      </c>
      <c r="B4" s="3">
        <v>2</v>
      </c>
    </row>
    <row r="5" spans="1:2" x14ac:dyDescent="0.3">
      <c r="A5" t="s">
        <v>22</v>
      </c>
      <c r="B5" s="3">
        <v>0</v>
      </c>
    </row>
    <row r="6" spans="1:2" x14ac:dyDescent="0.3">
      <c r="A6" t="s">
        <v>23</v>
      </c>
      <c r="B6" s="3">
        <v>2</v>
      </c>
    </row>
    <row r="7" spans="1:2" x14ac:dyDescent="0.3">
      <c r="A7" t="s">
        <v>24</v>
      </c>
      <c r="B7" s="3">
        <v>1</v>
      </c>
    </row>
    <row r="8" spans="1:2" x14ac:dyDescent="0.3">
      <c r="A8" t="s">
        <v>13</v>
      </c>
      <c r="B8" s="6">
        <f>'База ставок'!B7</f>
        <v>1617</v>
      </c>
    </row>
    <row r="9" spans="1:2" x14ac:dyDescent="0.3">
      <c r="A9" t="s">
        <v>15</v>
      </c>
      <c r="B9" s="6">
        <f>'База ставок'!B8</f>
        <v>1747</v>
      </c>
    </row>
    <row r="10" spans="1:2" x14ac:dyDescent="0.3">
      <c r="A10" t="s">
        <v>25</v>
      </c>
      <c r="B10" s="4">
        <v>0.3</v>
      </c>
    </row>
    <row r="11" spans="1:2" x14ac:dyDescent="0.3">
      <c r="A11" t="s">
        <v>26</v>
      </c>
      <c r="B11" s="4">
        <v>0.3</v>
      </c>
    </row>
    <row r="12" spans="1:2" x14ac:dyDescent="0.3">
      <c r="A12" t="s">
        <v>27</v>
      </c>
      <c r="B12" s="4">
        <v>0.75</v>
      </c>
    </row>
    <row r="14" spans="1:2" x14ac:dyDescent="0.3">
      <c r="A14" t="s">
        <v>28</v>
      </c>
    </row>
    <row r="15" spans="1:2" x14ac:dyDescent="0.3">
      <c r="A15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tabSelected="1" topLeftCell="A10" workbookViewId="0">
      <selection activeCell="I19" sqref="I19"/>
    </sheetView>
  </sheetViews>
  <sheetFormatPr defaultRowHeight="14.4" x14ac:dyDescent="0.3"/>
  <cols>
    <col min="1" max="1" width="44" customWidth="1"/>
    <col min="2" max="3" width="15" customWidth="1"/>
  </cols>
  <sheetData>
    <row r="1" spans="1:3" x14ac:dyDescent="0.3">
      <c r="A1" s="7" t="s">
        <v>30</v>
      </c>
      <c r="B1" s="7" t="s">
        <v>31</v>
      </c>
      <c r="C1" s="7" t="s">
        <v>32</v>
      </c>
    </row>
    <row r="2" spans="1:3" x14ac:dyDescent="0.3">
      <c r="A2" t="s">
        <v>19</v>
      </c>
      <c r="B2" s="9">
        <f>'Исходные данные'!B2</f>
        <v>10</v>
      </c>
      <c r="C2" s="9">
        <f>B2</f>
        <v>10</v>
      </c>
    </row>
    <row r="3" spans="1:3" x14ac:dyDescent="0.3">
      <c r="A3" t="s">
        <v>13</v>
      </c>
      <c r="B3" s="6">
        <f>'Исходные данные'!B8</f>
        <v>1617</v>
      </c>
      <c r="C3" s="6">
        <f>B3</f>
        <v>1617</v>
      </c>
    </row>
    <row r="4" spans="1:3" x14ac:dyDescent="0.3">
      <c r="A4" t="s">
        <v>15</v>
      </c>
      <c r="B4" s="6">
        <f>'Исходные данные'!B9</f>
        <v>1747</v>
      </c>
      <c r="C4" s="6">
        <f>B4</f>
        <v>1747</v>
      </c>
    </row>
    <row r="6" spans="1:3" x14ac:dyDescent="0.3">
      <c r="A6" s="7" t="s">
        <v>33</v>
      </c>
    </row>
    <row r="7" spans="1:3" x14ac:dyDescent="0.3">
      <c r="A7" t="s">
        <v>34</v>
      </c>
      <c r="B7" s="3">
        <f>'Исходные данные'!B4</f>
        <v>2</v>
      </c>
      <c r="C7" s="3">
        <f>(1-'Исходные данные'!B10)*B7</f>
        <v>1.4</v>
      </c>
    </row>
    <row r="8" spans="1:3" x14ac:dyDescent="0.3">
      <c r="A8" t="s">
        <v>35</v>
      </c>
      <c r="B8" s="3">
        <f>'Исходные данные'!B5</f>
        <v>0</v>
      </c>
      <c r="C8" s="3">
        <f>(1-'Исходные данные'!B11)*B8</f>
        <v>0</v>
      </c>
    </row>
    <row r="9" spans="1:3" x14ac:dyDescent="0.3">
      <c r="A9" t="s">
        <v>36</v>
      </c>
      <c r="B9" s="6">
        <f>B7*B3+B8*B4</f>
        <v>3234</v>
      </c>
      <c r="C9" s="6">
        <f>C7*C3+C8*C4</f>
        <v>2263.7999999999997</v>
      </c>
    </row>
    <row r="10" spans="1:3" x14ac:dyDescent="0.3">
      <c r="A10" t="s">
        <v>37</v>
      </c>
      <c r="B10" s="9">
        <f>B2</f>
        <v>10</v>
      </c>
      <c r="C10" s="9">
        <f>C2</f>
        <v>10</v>
      </c>
    </row>
    <row r="11" spans="1:3" x14ac:dyDescent="0.3">
      <c r="A11" s="7" t="s">
        <v>38</v>
      </c>
      <c r="B11" s="10">
        <f>B10*B9</f>
        <v>32340</v>
      </c>
      <c r="C11" s="10">
        <f>C10*C9</f>
        <v>22637.999999999996</v>
      </c>
    </row>
    <row r="13" spans="1:3" x14ac:dyDescent="0.3">
      <c r="A13" s="7" t="s">
        <v>39</v>
      </c>
    </row>
    <row r="14" spans="1:3" x14ac:dyDescent="0.3">
      <c r="A14" t="s">
        <v>40</v>
      </c>
      <c r="B14" s="4">
        <f>'Исходные данные'!B3</f>
        <v>0.4</v>
      </c>
      <c r="C14" s="4">
        <f>B14*(1-'Исходные данные'!B12)</f>
        <v>0.1</v>
      </c>
    </row>
    <row r="15" spans="1:3" x14ac:dyDescent="0.3">
      <c r="A15" t="s">
        <v>34</v>
      </c>
      <c r="B15" s="3">
        <f>'Исходные данные'!B6</f>
        <v>2</v>
      </c>
      <c r="C15" s="3">
        <f>(1-'Исходные данные'!B10)*B15</f>
        <v>1.4</v>
      </c>
    </row>
    <row r="16" spans="1:3" x14ac:dyDescent="0.3">
      <c r="A16" t="s">
        <v>35</v>
      </c>
      <c r="B16" s="3">
        <f>'Исходные данные'!B7</f>
        <v>1</v>
      </c>
      <c r="C16" s="3">
        <f>(1-'Исходные данные'!B11)*B16</f>
        <v>0.7</v>
      </c>
    </row>
    <row r="17" spans="1:3" x14ac:dyDescent="0.3">
      <c r="A17" t="s">
        <v>41</v>
      </c>
      <c r="B17" s="6">
        <f>B15*B3+B16*B4</f>
        <v>4981</v>
      </c>
      <c r="C17" s="6">
        <f>C15*C3+C16*C4</f>
        <v>3486.7</v>
      </c>
    </row>
    <row r="18" spans="1:3" x14ac:dyDescent="0.3">
      <c r="A18" t="s">
        <v>37</v>
      </c>
      <c r="B18" s="9">
        <f>B2*B14</f>
        <v>4</v>
      </c>
      <c r="C18" s="9">
        <f>C2*C14</f>
        <v>1</v>
      </c>
    </row>
    <row r="19" spans="1:3" x14ac:dyDescent="0.3">
      <c r="A19" s="7" t="s">
        <v>42</v>
      </c>
      <c r="B19" s="10">
        <f>B18*B17</f>
        <v>19924</v>
      </c>
      <c r="C19" s="10">
        <f>C18*C17</f>
        <v>3486.7</v>
      </c>
    </row>
    <row r="21" spans="1:3" x14ac:dyDescent="0.3">
      <c r="A21" s="7" t="s">
        <v>43</v>
      </c>
    </row>
    <row r="22" spans="1:3" x14ac:dyDescent="0.3">
      <c r="A22" s="7" t="s">
        <v>44</v>
      </c>
      <c r="B22" s="10">
        <f>B11+B19</f>
        <v>52264</v>
      </c>
      <c r="C22" s="10">
        <f>C11+C19</f>
        <v>26124.699999999997</v>
      </c>
    </row>
    <row r="23" spans="1:3" x14ac:dyDescent="0.3">
      <c r="A23" s="7" t="s">
        <v>45</v>
      </c>
      <c r="B23" s="7"/>
      <c r="C23" s="10">
        <f>B22-C22</f>
        <v>26139.300000000003</v>
      </c>
    </row>
    <row r="24" spans="1:3" x14ac:dyDescent="0.3">
      <c r="A24" s="7" t="s">
        <v>46</v>
      </c>
      <c r="B24" s="7"/>
      <c r="C24" s="10">
        <f>C23*12</f>
        <v>313671.60000000003</v>
      </c>
    </row>
    <row r="26" spans="1:3" x14ac:dyDescent="0.3">
      <c r="A26" t="s">
        <v>47</v>
      </c>
      <c r="B26" s="3">
        <f>B10*B7+B18*B15</f>
        <v>28</v>
      </c>
      <c r="C26" s="3">
        <f>C10*C7+C18*C15</f>
        <v>15.4</v>
      </c>
    </row>
    <row r="27" spans="1:3" x14ac:dyDescent="0.3">
      <c r="A27" t="s">
        <v>48</v>
      </c>
      <c r="B27" s="3">
        <f>B10*B8+B18*B16</f>
        <v>4</v>
      </c>
      <c r="C27" s="3">
        <f>C10*C8+C18*C16</f>
        <v>0.7</v>
      </c>
    </row>
    <row r="28" spans="1:3" x14ac:dyDescent="0.3">
      <c r="A28" s="7" t="s">
        <v>49</v>
      </c>
      <c r="B28" s="8">
        <f>B26+B27</f>
        <v>32</v>
      </c>
      <c r="C28" s="8">
        <f>C26+C27</f>
        <v>16.100000000000001</v>
      </c>
    </row>
    <row r="29" spans="1:3" x14ac:dyDescent="0.3">
      <c r="A29" s="7" t="s">
        <v>50</v>
      </c>
      <c r="B29" s="7"/>
      <c r="C29" s="8">
        <f>B28-C28</f>
        <v>15.899999999999999</v>
      </c>
    </row>
    <row r="30" spans="1:3" x14ac:dyDescent="0.3">
      <c r="A30" s="7" t="s">
        <v>51</v>
      </c>
      <c r="B30" s="7"/>
      <c r="C30" s="8">
        <f>C29*12</f>
        <v>190.79999999999998</v>
      </c>
    </row>
    <row r="32" spans="1:3" x14ac:dyDescent="0.3">
      <c r="A32" s="7" t="s">
        <v>52</v>
      </c>
    </row>
    <row r="33" spans="1:1" x14ac:dyDescent="0.3">
      <c r="A33" t="s">
        <v>53</v>
      </c>
    </row>
    <row r="34" spans="1:1" x14ac:dyDescent="0.3">
      <c r="A34" t="s">
        <v>54</v>
      </c>
    </row>
    <row r="35" spans="1:1" x14ac:dyDescent="0.3">
      <c r="A35" t="s">
        <v>55</v>
      </c>
    </row>
    <row r="36" spans="1:1" x14ac:dyDescent="0.3">
      <c r="A36" t="s">
        <v>56</v>
      </c>
    </row>
    <row r="38" spans="1:1" x14ac:dyDescent="0.3">
      <c r="A38" s="7" t="s">
        <v>57</v>
      </c>
    </row>
    <row r="39" spans="1:1" x14ac:dyDescent="0.3">
      <c r="A39" t="s">
        <v>58</v>
      </c>
    </row>
    <row r="40" spans="1:1" x14ac:dyDescent="0.3">
      <c r="A40" t="s">
        <v>59</v>
      </c>
    </row>
    <row r="41" spans="1:1" x14ac:dyDescent="0.3">
      <c r="A41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dimension ref="A1:C57"/>
  <sheetViews>
    <sheetView workbookViewId="0"/>
  </sheetViews>
  <sheetFormatPr defaultRowHeight="14.4"/>
  <cols>
    <col min="1" max="1" width="54" customWidth="1"/>
    <col min="2" max="2" width="16" customWidth="1"/>
    <col min="3" max="3" width="88" customWidth="1"/>
  </cols>
  <sheetData>
    <row r="1" spans="1:3">
      <c r="A1" s="2" t="inlineStr">
        <is>
          <t xml:space="preserve">Показатель</t>
        </is>
      </c>
      <c r="B1" s="2" t="inlineStr">
        <is>
          <t xml:space="preserve">Значение</t>
        </is>
      </c>
      <c r="C1" s="2" t="inlineStr">
        <is>
          <t xml:space="preserve">Основание</t>
        </is>
      </c>
    </row>
    <row r="2" spans="1:3">
      <c r="A2" s="7" t="inlineStr">
        <is>
          <t xml:space="preserve">ЦЕНЫ (публичные прайсы МТС и рыночные медианы)</t>
        </is>
      </c>
    </row>
    <row r="3" spans="1:3">
      <c r="A3" t="inlineStr">
        <is>
          <t xml:space="preserve">Цена 1 vCPU, ₽/мес</t>
        </is>
      </c>
      <c r="B3" s="5">
        <v>821.376</v>
      </c>
      <c r="C3" t="inlineStr">
        <is>
          <t xml:space="preserve">MWS Cloud Platform, тариф base с 01.08.2026, цена за месяц с НДС 22 %</t>
        </is>
      </c>
    </row>
    <row r="4" spans="1:3">
      <c r="A4" t="inlineStr">
        <is>
          <t xml:space="preserve">Цена 1 ГБ RAM, ₽/мес</t>
        </is>
      </c>
      <c r="B4" s="5">
        <v>230.688</v>
      </c>
      <c r="C4" t="inlineStr">
        <is>
          <t xml:space="preserve">MWS Cloud Platform, тариф base с 01.08.2026, цена за месяц с НДС 22 %</t>
        </is>
      </c>
    </row>
    <row r="5" spans="1:3">
      <c r="A5" t="inlineStr">
        <is>
          <t xml:space="preserve">Цена 1 ГБ диска NBS-PL2, ₽/мес</t>
        </is>
      </c>
      <c r="B5" s="5">
        <v>8.928</v>
      </c>
      <c r="C5" t="inlineStr">
        <is>
          <t xml:space="preserve">MWS Cloud Platform, тариф base с 01.08.2026, цена за месяц с НДС 22 %</t>
        </is>
      </c>
    </row>
    <row r="6" spans="1:3">
      <c r="A6" t="inlineStr">
        <is>
          <t xml:space="preserve">Справочно: цена 1 млн входных токенов, ₽</t>
        </is>
      </c>
      <c r="B6" s="5">
        <v>70.76</v>
      </c>
      <c r="C6" t="inlineStr">
        <is>
          <t xml:space="preserve">MWS GPT Model Hub, модель qwen3.6-35b-a3b, с НДС 22 %. Справочно: платный инференс не используется</t>
        </is>
      </c>
    </row>
    <row r="7" spans="1:3">
      <c r="A7" t="inlineStr">
        <is>
          <t xml:space="preserve">Справочно: цена 1 млн выходных токенов, ₽</t>
        </is>
      </c>
      <c r="B7" s="5">
        <v>283.04</v>
      </c>
      <c r="C7" t="inlineStr">
        <is>
          <t xml:space="preserve">MWS GPT Model Hub, модель qwen3.6-35b-a3b, с НДС 22 %. Справочно: платный инференс не используется</t>
        </is>
      </c>
    </row>
    <row r="8" spans="1:3">
      <c r="A8" t="inlineStr">
        <is>
          <t xml:space="preserve">Стоимость часа DevOps-инженера, ₽</t>
        </is>
      </c>
      <c r="B8" s="5">
        <f>'База ставок'!B10</f>
        <v>1823.0</v>
      </c>
      <c r="C8" t="inlineStr">
        <is>
          <t xml:space="preserve">Медиана Middle DevOps с взносами, вкладка «База ставок»</t>
        </is>
      </c>
    </row>
    <row r="9" spans="1:3">
      <c r="A9" t="inlineStr">
        <is>
          <t xml:space="preserve">Стоимость часа аналитика, ₽</t>
        </is>
      </c>
      <c r="B9" s="5">
        <f>'База ставок'!B7</f>
        <v>1617.0</v>
      </c>
      <c r="C9" t="inlineStr">
        <is>
          <t xml:space="preserve">Медиана Middle системного аналитика с взносами, вкладка «База ставок»</t>
        </is>
      </c>
    </row>
    <row r="11" spans="1:3">
      <c r="A11" s="7" t="inlineStr">
        <is>
          <t xml:space="preserve">КОНФИГУРАЦИЯ РАЗВЁРНУТОГО РЕШЕНИЯ</t>
        </is>
      </c>
    </row>
    <row r="12" spans="1:3">
      <c r="A12" t="inlineStr">
        <is>
          <t xml:space="preserve">vCPU, шт.</t>
        </is>
      </c>
      <c r="B12">
        <v>4.0</v>
      </c>
      <c r="C12" t="inlineStr">
        <is>
          <t xml:space="preserve">Одна ВМ на веб, API, обработчик и базу. Модель на этой машине не работает. Допущение при нагрузке в 10 ТЗ в месяц</t>
        </is>
      </c>
    </row>
    <row r="13" spans="1:3">
      <c r="A13" t="inlineStr">
        <is>
          <t xml:space="preserve">RAM, ГБ</t>
        </is>
      </c>
      <c r="B13">
        <v>8.0</v>
      </c>
      <c r="C13" t="inlineStr">
        <is>
          <t xml:space="preserve">Допущение</t>
        </is>
      </c>
    </row>
    <row r="14" spans="1:3">
      <c r="A14" t="inlineStr">
        <is>
          <t xml:space="preserve">Диск, ГБ</t>
        </is>
      </c>
      <c r="B14">
        <v>100.0</v>
      </c>
      <c r="C14" t="inlineStr">
        <is>
          <t xml:space="preserve">Документы, отчёты и база запусков. Допущение</t>
        </is>
      </c>
    </row>
    <row r="15" spans="1:3">
      <c r="A15" t="inlineStr">
        <is>
          <t xml:space="preserve">Прогонов ревью в месяц, шт.</t>
        </is>
      </c>
      <c r="B15">
        <v>15.0</v>
      </c>
      <c r="C15" t="inlineStr">
        <is>
          <t xml:space="preserve">10 ТЗ из «Исходных данных» плюс повторные прогоны после правок. Допущение</t>
        </is>
      </c>
    </row>
    <row r="16" spans="1:3">
      <c r="A16" t="inlineStr">
        <is>
          <t xml:space="preserve">Справочно: входных токенов на прогон, тыс.</t>
        </is>
      </c>
      <c r="B16">
        <v>40.0</v>
      </c>
      <c r="C16" t="inlineStr">
        <is>
          <t xml:space="preserve">Документ 10 страниц с контекстом и профилем проходит через модель дважды: work items с перекрытием и synthesis</t>
        </is>
      </c>
    </row>
    <row r="17" spans="1:3">
      <c r="A17" t="inlineStr">
        <is>
          <t xml:space="preserve">Справочно: выходных токенов на прогон, тыс.</t>
        </is>
      </c>
      <c r="B17">
        <v>10.0</v>
      </c>
      <c r="C17" t="inlineStr">
        <is>
          <t xml:space="preserve">Замечания с цитатами и промежуточные ответы</t>
        </is>
      </c>
    </row>
    <row r="19" spans="1:3">
      <c r="A19" s="7" t="inlineStr">
        <is>
          <t xml:space="preserve">ВНЕДРЕНИЕ (единовременно, силами МТС)</t>
        </is>
      </c>
    </row>
    <row r="20" spans="1:3">
      <c r="A20" t="inlineStr">
        <is>
          <t xml:space="preserve">Согласование с ИБ и заведение сервиса в контур, ч</t>
        </is>
      </c>
      <c r="B20">
        <v>32.0</v>
      </c>
      <c r="C20" t="inlineStr">
        <is>
          <t xml:space="preserve">Единственное допущение расчёта: 80 часов трудозатрат МТС. Ориентир — оценка кейсодателя «месяц» на интеграцию MCP-сервера в закрытый контур</t>
        </is>
      </c>
    </row>
    <row r="21" spans="1:3">
      <c r="A21" t="inlineStr">
        <is>
          <t xml:space="preserve">Подключение к LLM команды и проверка сценария, ч</t>
        </is>
      </c>
      <c r="B21">
        <v>24.0</v>
      </c>
      <c r="C21" t="inlineStr">
        <is>
          <t xml:space="preserve">Часть тех же 80 часов. Модель не разворачивается: инструмент встраивается в существующий workflow команды с её LLM</t>
        </is>
      </c>
    </row>
    <row r="22" spans="1:3">
      <c r="A22" t="inlineStr">
        <is>
          <t xml:space="preserve">Настройка профиля проверки и контекста проекта, ч</t>
        </is>
      </c>
      <c r="B22">
        <v>16.0</v>
      </c>
      <c r="C22" t="inlineStr">
        <is>
          <t xml:space="preserve">Часть тех же 80 часов. Кто это делает на практике — открытый вопрос D-16</t>
        </is>
      </c>
    </row>
    <row r="23" spans="1:3">
      <c r="A23" t="inlineStr">
        <is>
          <t xml:space="preserve">Дополнение регламента разработки ТЗ и обучение команды, ч</t>
        </is>
      </c>
      <c r="B23">
        <v>8.0</v>
      </c>
      <c r="C23" t="inlineStr">
        <is>
          <t xml:space="preserve">Часть тех же 80 часов. Необходимость дополнения регламента — D-15</t>
        </is>
      </c>
    </row>
    <row r="24" spans="1:3">
      <c r="A24" t="inlineStr">
        <is>
          <t xml:space="preserve">Итого часов</t>
        </is>
      </c>
      <c r="B24">
        <f>SUM(B20:B23)</f>
        <v>80.0</v>
      </c>
    </row>
    <row r="25" spans="1:3">
      <c r="A25" t="inlineStr">
        <is>
          <t xml:space="preserve">Итого внедрение, ₽</t>
        </is>
      </c>
      <c r="B25" s="10">
        <f>(B20+B21)*B8+(B22+B23)*B9</f>
        <v>140896.0</v>
      </c>
      <c r="C25" t="inlineStr">
        <is>
          <t xml:space="preserve">Часы ИБ и подключения по ставке DevOps, настройка и регламент — по ставке аналитика</t>
        </is>
      </c>
    </row>
    <row r="27" spans="1:3">
      <c r="A27" s="7" t="inlineStr">
        <is>
          <t xml:space="preserve">ЭКСПЛУАТАЦИЯ (ежемесячно)</t>
        </is>
      </c>
    </row>
    <row r="28" spans="1:3">
      <c r="A28" t="inlineStr">
        <is>
          <t xml:space="preserve">Инфраструктура, ₽/мес</t>
        </is>
      </c>
      <c r="B28" s="5">
        <f>B12*B3+B13*B4+B14*B5</f>
        <v>6023.808</v>
      </c>
      <c r="C28" t="inlineStr">
        <is>
          <t xml:space="preserve">ВМ под сам сервис ревью по публичному прайсу MWS. Не зависит от того, где работает модель</t>
        </is>
      </c>
    </row>
    <row r="29" spans="1:3">
      <c r="A29" t="inlineStr">
        <is>
          <t xml:space="preserve">Инференс LLM, ₽/мес</t>
        </is>
      </c>
      <c r="B29" s="5">
        <v>0.0</v>
      </c>
      <c r="C29" t="inlineStr">
        <is>
          <t xml:space="preserve">Ноль: инструмент работает на уже развёрнутой LLM команды, отдельная модель не разворачивается. Возникает нагрузка на существующий контур, а не платёж</t>
        </is>
      </c>
    </row>
    <row r="30" spans="1:3">
      <c r="A30" t="inlineStr">
        <is>
          <t xml:space="preserve">Справочно: инференс при платной модели, ₽/мес</t>
        </is>
      </c>
      <c r="B30" s="5">
        <f>B15*(B16*B6+B17*B7)/1000</f>
        <v>84.912</v>
      </c>
      <c r="C30" t="inlineStr">
        <is>
          <t xml:space="preserve">Во что обошёлся бы тот же объём прогонов по прайсу MWS GPT. В итог не входит</t>
        </is>
      </c>
    </row>
    <row r="31" spans="1:3">
      <c r="A31" t="inlineStr">
        <is>
          <t xml:space="preserve">Сопровождение DevOps, ч/мес</t>
        </is>
      </c>
      <c r="B31">
        <v>2.0</v>
      </c>
      <c r="C31" t="inlineStr">
        <is>
          <t xml:space="preserve">Обновления сервиса и зависимостей, мониторинг работоспособности, разбор инцидентов. Сокращено до 2 ч 2026-09-06. Допущение</t>
        </is>
      </c>
    </row>
    <row r="32" spans="1:3">
      <c r="A32" t="inlineStr">
        <is>
          <t xml:space="preserve">Поддержка профиля и контекста аналитиком, ч/мес</t>
        </is>
      </c>
      <c r="B32">
        <v>2.0</v>
      </c>
      <c r="C32" t="inlineStr">
        <is>
          <t xml:space="preserve">Перенос изменений шаблона документации и контекста проекта (справочники НСИ, соглашения по полям, схемы источников) в профиль проверки. Допущение</t>
        </is>
      </c>
    </row>
    <row r="33" spans="1:3">
      <c r="A33" t="inlineStr">
        <is>
          <t xml:space="preserve">Сопровождение, ₽/мес</t>
        </is>
      </c>
      <c r="B33" s="5">
        <f>B31*B8+B32*B9</f>
        <v>6880.0</v>
      </c>
    </row>
    <row r="34" spans="1:3">
      <c r="A34" t="inlineStr">
        <is>
          <t xml:space="preserve">Итого эксплуатация, ₽/мес</t>
        </is>
      </c>
      <c r="B34" s="10">
        <f>B28+B29+B33</f>
        <v>12903.808</v>
      </c>
    </row>
    <row r="35" spans="1:3">
      <c r="A35" t="inlineStr">
        <is>
          <t xml:space="preserve">Итого эксплуатация, ₽/год</t>
        </is>
      </c>
      <c r="B35" s="10">
        <f>B34*12</f>
        <v>154845.696</v>
      </c>
    </row>
    <row r="37" spans="1:3">
      <c r="A37" s="7" t="inlineStr">
        <is>
          <t xml:space="preserve">СВОДКА ПО ОДНОЙ КОМАНДЕ</t>
        </is>
      </c>
    </row>
    <row r="38" spans="1:3">
      <c r="A38" t="inlineStr">
        <is>
          <t xml:space="preserve">Валовый эффект от ревью, ₽/мес</t>
        </is>
      </c>
      <c r="B38" s="5">
        <f>'Экономический эффект'!C23</f>
        <v>26139.300000000003</v>
      </c>
      <c r="C38" t="inlineStr">
        <is>
          <t xml:space="preserve">Вкладка «Экономический эффект»</t>
        </is>
      </c>
    </row>
    <row r="39" spans="1:3">
      <c r="A39" t="inlineStr">
        <is>
          <t xml:space="preserve">Чистый эффект, ₽/мес</t>
        </is>
      </c>
      <c r="B39" s="10">
        <f>B38-B34</f>
        <v>13235.492000000002</v>
      </c>
      <c r="C39" t="inlineStr">
        <is>
          <t xml:space="preserve">Валовый эффект за вычетом эксплуатации</t>
        </is>
      </c>
    </row>
    <row r="40" spans="1:3">
      <c r="A40" t="inlineStr">
        <is>
          <t xml:space="preserve">Чистый эффект, ₽/год</t>
        </is>
      </c>
      <c r="B40" s="10">
        <f>B39*12</f>
        <v>158825.90400000004</v>
      </c>
    </row>
    <row r="41" spans="1:3">
      <c r="A41" t="inlineStr">
        <is>
          <t xml:space="preserve">Окупаемость внедрения, мес</t>
        </is>
      </c>
      <c r="B41" s="9">
        <f>B25/B39</f>
        <v>10.645316396247301</v>
      </c>
      <c r="C41" t="inlineStr">
        <is>
          <t xml:space="preserve">Затраты на внедрение, делённые на чистый эффект за месяц</t>
        </is>
      </c>
    </row>
    <row r="42" spans="1:3">
      <c r="A42" t="inlineStr">
        <is>
          <t xml:space="preserve">Итог первого года, ₽</t>
        </is>
      </c>
      <c r="B42" s="10">
        <f>B40-B25</f>
        <v>17929.90400000004</v>
      </c>
      <c r="C42" t="inlineStr">
        <is>
          <t xml:space="preserve">Годовой чистый эффект минус разовые затраты на внедрение</t>
        </is>
      </c>
    </row>
    <row r="44" spans="1:3">
      <c r="A44" s="7" t="inlineStr">
        <is>
          <t xml:space="preserve">РЕНТАБЕЛЬНОСТЬ ИНВЕСТИЦИЙ</t>
        </is>
      </c>
    </row>
    <row r="45" spans="1:3">
      <c r="A45" t="inlineStr">
        <is>
          <t xml:space="preserve">Валовый эффект за год, ₽</t>
        </is>
      </c>
      <c r="B45" s="5">
        <f>B38*12</f>
        <v>313671.60000000003</v>
      </c>
    </row>
    <row r="46" spans="1:3">
      <c r="A46" t="inlineStr">
        <is>
          <t xml:space="preserve">Затраты первого года (внедрение + эксплуатация), ₽</t>
        </is>
      </c>
      <c r="B46" s="5">
        <f>B25+B35</f>
        <v>295741.696</v>
      </c>
    </row>
    <row r="47" spans="1:3">
      <c r="A47" t="inlineStr">
        <is>
          <t xml:space="preserve">ROI первого года, %</t>
        </is>
      </c>
      <c r="B47" s="9">
        <f>(B45-B46)/B46*100</f>
        <v>6.062690598758194</v>
      </c>
      <c r="C47" t="inlineStr">
        <is>
          <t xml:space="preserve">Выгода, делённая на затраты. В первый год затраты включают разовое внедрение</t>
        </is>
      </c>
    </row>
    <row r="48" spans="1:3">
      <c r="A48" t="inlineStr">
        <is>
          <t xml:space="preserve">ROI второго года, %</t>
        </is>
      </c>
      <c r="B48" s="9">
        <f>(B45-B35)/B35*100</f>
        <v>102.57043502197183</v>
      </c>
      <c r="C48" t="inlineStr">
        <is>
          <t xml:space="preserve">Внедрение уже оплачено, остаётся только эксплуатация</t>
        </is>
      </c>
    </row>
    <row r="49" spans="1:3">
      <c r="A49" t="inlineStr">
        <is>
          <t xml:space="preserve">ROI за три года накопительно, %</t>
        </is>
      </c>
      <c r="B49" s="9">
        <f>(B45*3-(B25+B35*3))/(B25+B35*3)*100</f>
        <v>55.428373283754205</v>
      </c>
      <c r="C49" t="inlineStr">
        <is>
          <t xml:space="preserve">Сумма эффекта за три года против внедрения и трёх лет эксплуатации</t>
        </is>
      </c>
    </row>
    <row r="51" spans="1:3">
      <c r="A51" t="inlineStr">
        <is>
          <t xml:space="preserve">Расчёт охватывает только затраты МТС. Разработка решения нашей командой в него не входит по условию задачи.</t>
        </is>
      </c>
    </row>
    <row r="52" spans="1:3">
      <c r="A52" t="inlineStr">
        <is>
          <t xml:space="preserve">Инструмент встраивается в обычный workflow команды с её LLM, поэтому отдельная модель не разворачивается и платного инференса нет. Внедрение идёт в одну команду.</t>
        </is>
      </c>
    </row>
    <row r="53" spans="1:3">
      <c r="A53" t="inlineStr">
        <is>
          <t xml:space="preserve">Единственное содержательное допущение по трудозатратам — 80 часов на внедрение. Оно опирается на оценку кейсодателя «месяц» на интеграцию MCP-сервера в закрытый контур; веб-сервис во внутреннем контуре по гипотезе 2.2 должен обходиться дешевле, поэтому 80 часов — скорее верхняя граница.</t>
        </is>
      </c>
    </row>
    <row r="54" spans="1:3">
      <c r="A54" t="inlineStr">
        <is>
          <t xml:space="preserve">Инфраструктура считается по публичному прайсу МТС, а не по внутренней себестоимости, которая ниже. Реальные затраты внутри контура компании будут меньше, а при размещении сервиса на уже оплаченных мощностях контура эта строка может исчезнуть совсем.</t>
        </is>
      </c>
    </row>
    <row r="55" spans="1:3">
      <c r="A55" t="inlineStr">
        <is>
          <t xml:space="preserve">Доминирующая статья эксплуатации — сопровождение: 6 880 ₽ из 12 904 ₽, то есть 53 %. Вычисления в затраты не входят вовсе.</t>
        </is>
      </c>
    </row>
    <row r="56" spans="1:3">
      <c r="A56" t="inlineStr">
        <is>
          <t xml:space="preserve">ROI считается по валовому эффекту из вкладки «Экономический эффект», который сам построен на незамеренных допущениях. Это рентабельность модели, а не подтверждённая рентабельность проекта.</t>
        </is>
      </c>
    </row>
    <row r="57" spans="1:3">
      <c r="A57" t="inlineStr">
        <is>
          <t xml:space="preserve">Валовый эффект берётся из вкладки «Экономический эффект» и сам построен на незамеренных допущениях. Итог этого расчёта не является подтверждённой экономией.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База ставок</vt:lpstr>
      <vt:lpstr>Исходные данные</vt:lpstr>
      <vt:lpstr>Экономический эффект</vt:lpstr>
      <vt:lpstr>Внедрение и эксплуатация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Данила Сараев</dc:creator>
  <cp:lastModifiedBy>Сараев Данила</cp:lastModifiedBy>
  <dcterms:created xsi:type="dcterms:W3CDTF">2015-06-05T18:19:34Z</dcterms:created>
  <dcterms:modified xsi:type="dcterms:W3CDTF">2026-09-06T16:08:38Z</dcterms:modified>
</cp:coreProperties>
</file>