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D:\ITMo\GIT\MTS\"/>
    </mc:Choice>
  </mc:AlternateContent>
  <xr:revisionPtr revIDLastSave="0" documentId="13_ncr:1_{874E3822-49B1-4034-84A1-7CDA8DAD8970}" xr6:coauthVersionLast="47" xr6:coauthVersionMax="47" xr10:uidLastSave="{00000000-0000-0000-0000-000000000000}"/>
  <bookViews>
    <workbookView xWindow="-108" yWindow="-108" windowWidth="23256" windowHeight="12456" firstSheet="2" activeTab="3" xr2:uid="{00000000-000D-0000-FFFF-FFFF00000000}"/>
  </bookViews>
  <sheets>
    <sheet name="База ставок" sheetId="1" r:id="rId1"/>
    <sheet name="Исходные данные" sheetId="2" r:id="rId2"/>
    <sheet name="Экономический эффект" sheetId="3" r:id="rId3"/>
    <sheet name="Внедрение и эксплуатация" sheetId="4" r:id="rId4"/>
    <sheet name="Расчёт ком. эффективности" sheetId="5" r:id="rId5"/>
    <sheet name="Обоснование дельты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7" i="6" l="1"/>
  <c r="B16" i="6"/>
  <c r="B12" i="6"/>
  <c r="C9" i="6"/>
  <c r="B9" i="6"/>
  <c r="C8" i="6"/>
  <c r="B8" i="6"/>
  <c r="D7" i="6"/>
  <c r="D6" i="6"/>
  <c r="D5" i="6"/>
  <c r="B12" i="4"/>
  <c r="B16" i="3"/>
  <c r="C16" i="3" s="1"/>
  <c r="B15" i="3"/>
  <c r="C15" i="3" s="1"/>
  <c r="B14" i="3"/>
  <c r="C14" i="3" s="1"/>
  <c r="B8" i="3"/>
  <c r="C8" i="3" s="1"/>
  <c r="B7" i="3"/>
  <c r="C7" i="3" s="1"/>
  <c r="C2" i="3"/>
  <c r="B2" i="3"/>
  <c r="B18" i="3" s="1"/>
  <c r="B6" i="1"/>
  <c r="B10" i="1" s="1"/>
  <c r="B3" i="4" s="1"/>
  <c r="B18" i="6" l="1"/>
  <c r="C19" i="6" s="1"/>
  <c r="B11" i="6"/>
  <c r="B19" i="6"/>
  <c r="B10" i="6"/>
  <c r="C18" i="3"/>
  <c r="B7" i="1"/>
  <c r="B10" i="3"/>
  <c r="C10" i="3"/>
  <c r="B8" i="1"/>
  <c r="B9" i="2" s="1"/>
  <c r="B4" i="3" s="1"/>
  <c r="C4" i="3" s="1"/>
  <c r="B8" i="2" l="1"/>
  <c r="B4" i="4"/>
  <c r="C26" i="3"/>
  <c r="C27" i="3"/>
  <c r="B26" i="3"/>
  <c r="B28" i="3" s="1"/>
  <c r="B27" i="3"/>
  <c r="B18" i="4" l="1"/>
  <c r="B19" i="4" s="1"/>
  <c r="B13" i="4"/>
  <c r="C28" i="3"/>
  <c r="C29" i="3" s="1"/>
  <c r="C30" i="3" s="1"/>
  <c r="B3" i="3"/>
  <c r="B3" i="5" l="1"/>
  <c r="B5" i="5" s="1"/>
  <c r="C3" i="3"/>
  <c r="B17" i="3"/>
  <c r="B19" i="3" s="1"/>
  <c r="B9" i="3"/>
  <c r="B11" i="3" s="1"/>
  <c r="B22" i="3" s="1"/>
  <c r="C9" i="3" l="1"/>
  <c r="C11" i="3" s="1"/>
  <c r="C17" i="3"/>
  <c r="C19" i="3" s="1"/>
  <c r="C22" i="3" l="1"/>
  <c r="C23" i="3" s="1"/>
  <c r="C24" i="3" l="1"/>
  <c r="B22" i="4"/>
  <c r="B29" i="4" l="1"/>
  <c r="B23" i="4"/>
  <c r="B24" i="4" l="1"/>
  <c r="B25" i="4"/>
  <c r="E4" i="5" l="1"/>
  <c r="E5" i="5" s="1"/>
  <c r="D4" i="5"/>
  <c r="D5" i="5" s="1"/>
  <c r="B26" i="4"/>
  <c r="C4" i="5"/>
  <c r="C5" i="5" s="1"/>
  <c r="C6" i="5" s="1"/>
  <c r="B30" i="4" s="1"/>
  <c r="D6" i="5" l="1"/>
  <c r="E6" i="5" s="1"/>
  <c r="B31" i="4" s="1"/>
</calcChain>
</file>

<file path=xl/sharedStrings.xml><?xml version="1.0" encoding="utf-8"?>
<sst xmlns="http://schemas.openxmlformats.org/spreadsheetml/2006/main" count="148" uniqueCount="132">
  <si>
    <t>Показатель</t>
  </si>
  <si>
    <t>Значение</t>
  </si>
  <si>
    <t>Основание</t>
  </si>
  <si>
    <t>Медианная зарплата Middle системного аналитика, ₽/мес до НДФЛ</t>
  </si>
  <si>
    <t>Хабр Карьера, страница «Системный аналитик, Middle», 1 219 анкет; сверено 2026-09-05</t>
  </si>
  <si>
    <t>Медианная зарплата Middle бэкенд-разработчика, ₽/мес до НДФЛ</t>
  </si>
  <si>
    <t>Хабр Карьера, страница «Бэкенд разработчик, Middle», 3 449 анкет; сверено 2026-09-05</t>
  </si>
  <si>
    <t>Ставка страховых взносов работодателя</t>
  </si>
  <si>
    <t>Единый тариф 30 % до предельной базы; для аккредитованной ИТ-компании ставится 7,6 %</t>
  </si>
  <si>
    <t>Годовая норма рабочего времени, ч</t>
  </si>
  <si>
    <t>Производственный календарь 2026, 40-часовая неделя, 247 рабочих дней</t>
  </si>
  <si>
    <t>Среднемесячная норма рабочего времени, ч</t>
  </si>
  <si>
    <t>Годовая норма, делённая на 12</t>
  </si>
  <si>
    <t>Стоимость часа аналитика</t>
  </si>
  <si>
    <t>Зарплата с взносами, делённая на месячную норму часов</t>
  </si>
  <si>
    <t>Стоимость часа разработчика</t>
  </si>
  <si>
    <t>Медианная зарплата Middle DevOps-инженера, ₽/мес до НДФЛ</t>
  </si>
  <si>
    <t>Хабр Карьера, страница «DevOps-инженер, Middle»; сверено 2026-09-06</t>
  </si>
  <si>
    <t>Стоимость часа DevOps-инженера</t>
  </si>
  <si>
    <t>Стоимость часа = медианная зарплата × (1 + ставка взносов) ÷ среднемесячная норма часов. Это полная стоимость часа для работодателя, а не выплата сотруднику.</t>
  </si>
  <si>
    <t>Премии, накладные расходы, отпускные сверх нормы и региональные надбавки в расчёт не входят.</t>
  </si>
  <si>
    <t>Значения являются рыночными медианами, а не подтверждёнными ставками MTS. Разбор и ограничения — knowledge/economics.md.</t>
  </si>
  <si>
    <t>ТЗ на разработку/доработку, шт.</t>
  </si>
  <si>
    <t>Доля ТЗ, попадающих на повторное ревью</t>
  </si>
  <si>
    <t>Первичное ревью: трудозатраты аналитика, ч</t>
  </si>
  <si>
    <t>Первичное ревью: трудозатраты разработчика, ч</t>
  </si>
  <si>
    <t>Повторное ревью: трудозатраты аналитика, ч</t>
  </si>
  <si>
    <t>Повторное ревью: трудозатраты разработчика, ч</t>
  </si>
  <si>
    <t>Сокращение трудозатрат аналитика на ревью</t>
  </si>
  <si>
    <t>Сокращение трудозатрат разработчика на ревью</t>
  </si>
  <si>
    <t>Сокращение доли повторных ревью</t>
  </si>
  <si>
    <t>Первичное ревью автор делает сам, поэтому трудозатраты разработчика на нём равны нулю.</t>
  </si>
  <si>
    <t>Разработчик появляется только на повторном ревью: он обнаружил неясность и вернул ТЗ.</t>
  </si>
  <si>
    <t>Показатель (мес.)</t>
  </si>
  <si>
    <t>До</t>
  </si>
  <si>
    <t>После</t>
  </si>
  <si>
    <t>ПЕРВИЧНОЕ РЕВЬЮ (проходят все ТЗ)</t>
  </si>
  <si>
    <t>Трудозатраты аналитика, ч</t>
  </si>
  <si>
    <t>Трудозатраты разработчика, ч</t>
  </si>
  <si>
    <t>Стоимость одного первичного ревью</t>
  </si>
  <si>
    <t>ТЗ, шт.</t>
  </si>
  <si>
    <t>Затраты на первичное ревью, ₽/мес</t>
  </si>
  <si>
    <t>ПОВТОРНОЕ РЕВЬЮ (только возвращённые ТЗ)</t>
  </si>
  <si>
    <t>Доля ТЗ на повторное ревью</t>
  </si>
  <si>
    <t>Стоимость одного повторного ревью</t>
  </si>
  <si>
    <t>Затраты на повторное ревью, ₽/мес</t>
  </si>
  <si>
    <t>ИТОГО</t>
  </si>
  <si>
    <t>Итого затраты на ревью, ₽/мес</t>
  </si>
  <si>
    <t>Эффект, ₽/мес</t>
  </si>
  <si>
    <t>Эффект, ₽/год</t>
  </si>
  <si>
    <t>Часы аналитика, ч/мес</t>
  </si>
  <si>
    <t>Часы разработчика, ч/мес</t>
  </si>
  <si>
    <t>Итого часов команды, ч/мес</t>
  </si>
  <si>
    <t>Высвобождается часов, ч/мес</t>
  </si>
  <si>
    <t>Высвобождается часов, ч/год</t>
  </si>
  <si>
    <t>Как устроен расчёт</t>
  </si>
  <si>
    <t>До внедрения каждое ТЗ проходит первичное ревью перед отправкой разработчику. Его делает автор, поэтому трудозатраты разработчика на этом проходе равны нулю.</t>
  </si>
  <si>
    <t>Часть ТЗ разработчик возвращает. Повторное ревью стоит дороже первичного, потому что к часам аналитика добавляются часы разработчика, который обнаружил неясность и описал её.</t>
  </si>
  <si>
    <t>После внедрения инструмент действует на два показателя сразу: одно ревью обходится дешевле и доля ТЗ, попадающих на повторное ревью, сокращается.</t>
  </si>
  <si>
    <t>Время аналитика на запуск проверки и разбор отчёта отдельной строкой не выделено — оно учтено внутри сокращения трудозатрат, то есть сокращение является чистым, за вычетом новой работы с отчётом.</t>
  </si>
  <si>
    <t>СТОИМОСТЬ</t>
  </si>
  <si>
    <t>Стоимость часа DevOps-инженера, ₽</t>
  </si>
  <si>
    <t>Медиана Middle DevOps с взносами, вкладка «База ставок»</t>
  </si>
  <si>
    <t>Стоимость часа аналитика, ₽</t>
  </si>
  <si>
    <t>Медиана Middle системного аналитика с взносами, вкладка «База ставок»</t>
  </si>
  <si>
    <t>ВНЕДРЕНИЕ (единовременно, силами МТС)</t>
  </si>
  <si>
    <t>Согласование с ИБ и заведение сервиса в контур, ч</t>
  </si>
  <si>
    <t>Единственное допущение расчёта: 80 часов трудозатрат МТС. Ориентир — оценка кейсодателя «месяц» на интеграцию MCP-сервера в закрытый контур</t>
  </si>
  <si>
    <t>Подключение к LLM команды и проверка сценария, ч</t>
  </si>
  <si>
    <t>Часть тех же 80 часов. Модель не разворачивается: инструмент встраивается в существующий workflow команды с её LLM</t>
  </si>
  <si>
    <t>Настройка профиля проверки и контекста проекта, ч</t>
  </si>
  <si>
    <t>Часть тех же 80 часов. Кто это делает на практике — открытый вопрос D-16</t>
  </si>
  <si>
    <t>Дополнение регламента разработки ТЗ и обучение команды, ч</t>
  </si>
  <si>
    <t>Часть тех же 80 часов. Необходимость дополнения регламента — D-15</t>
  </si>
  <si>
    <t>Итого часов</t>
  </si>
  <si>
    <t>Итого внедрение, ₽</t>
  </si>
  <si>
    <t>Часы ИБ и подключения по ставке DevOps, настройка и регламент — по ставке аналитика</t>
  </si>
  <si>
    <t>ЭКСПЛУАТАЦИЯ (ежемесячно)</t>
  </si>
  <si>
    <t>Сопровождение DevOps, ч/мес</t>
  </si>
  <si>
    <t>Обновления сервиса и зависимостей, мониторинг работоспособности, разбор инцидентов. Сокращено до 2 ч 2026-09-06. Допущение</t>
  </si>
  <si>
    <t>Поддержка профиля и контекста аналитиком, ч/мес</t>
  </si>
  <si>
    <t>Перенос изменений шаблона документации и контекста проекта (справочники НСИ, соглашения по полям, схемы источников) в профиль проверки. Допущение</t>
  </si>
  <si>
    <t>Сопровождение, ₽/мес</t>
  </si>
  <si>
    <t>Итого эксплуатация, ₽/мес</t>
  </si>
  <si>
    <t>СВОДКА ПО ОДНОЙ КОМАНДЕ</t>
  </si>
  <si>
    <t>Валовый эффект от ревью, ₽/мес</t>
  </si>
  <si>
    <t>Вкладка «Экономический эффект»</t>
  </si>
  <si>
    <t>Чистый эффект, ₽/мес</t>
  </si>
  <si>
    <t>Валовый эффект за вычетом эксплуатации</t>
  </si>
  <si>
    <t>Чистый эффект, ₽/год</t>
  </si>
  <si>
    <t>Окупаемость внедрения, мес</t>
  </si>
  <si>
    <t>Затраты на внедрение, делённые на чистый эффект за месяц</t>
  </si>
  <si>
    <t>Итог первого года, ₽</t>
  </si>
  <si>
    <t>Годовой чистый эффект минус разовые затраты на внедрение</t>
  </si>
  <si>
    <t>РЕНТАБЕЛЬНОСТЬ ИНВЕСТИЦИЙ</t>
  </si>
  <si>
    <t>Валовый эффект за год, ₽</t>
  </si>
  <si>
    <t>ROI первого года, %</t>
  </si>
  <si>
    <t>ROI за 3 года, %</t>
  </si>
  <si>
    <t>Расчёт охватывает только затраты МТС. Разработка решения нашей командой в него не входит по условию задачи.</t>
  </si>
  <si>
    <t>Инструмент встраивается в обычный workflow команды с её LLM, поэтому отдельная модель не разворачивается и платного инференса нет. Внедрение идёт в одну команду.</t>
  </si>
  <si>
    <t>Допущение по трудозатратам — 80 часов на внедрение. Оно опирается на оценку кейсодателя «месяц» на интеграцию MCP-сервера в закрытый контур; веб-сервис во внутреннем контуре по гипотезе 2.2 должен обходиться дешевле, поэтому 80 часов — скорее верхняя граница.</t>
  </si>
  <si>
    <t>Доминирующая статья эксплуатации — сопровождение: 6 880 ₽ из 12 904 ₽, то есть 53 %. Вычисления в затраты не входят вовсе.</t>
  </si>
  <si>
    <t>ROI считается по валовому эффекту из вкладки «Экономический эффект».</t>
  </si>
  <si>
    <t>Показатели\Годы</t>
  </si>
  <si>
    <t>Внедрение</t>
  </si>
  <si>
    <t>Экономический эффект</t>
  </si>
  <si>
    <t>Чистый денежный поток</t>
  </si>
  <si>
    <t>Чистый денежный поток, накоп.</t>
  </si>
  <si>
    <t>1. СОКРАЩЕНИЕ ТРУДОЗАТРАТ НА РЕВЬЮ — 30 %</t>
  </si>
  <si>
    <t>Замер: ревью одного двухстраничного ТЗ. Три прогона вручную и три прогона с инструментом, время в минутах.</t>
  </si>
  <si>
    <t>Прогон</t>
  </si>
  <si>
    <t>Ручное ревью, мин</t>
  </si>
  <si>
    <t>С инструментом, мин</t>
  </si>
  <si>
    <t>Сокращение прогона</t>
  </si>
  <si>
    <t>Среднее, мин</t>
  </si>
  <si>
    <t>Стандартное отклонение, мин</t>
  </si>
  <si>
    <t>Разница средних, мин</t>
  </si>
  <si>
    <t>Сокращение по средним</t>
  </si>
  <si>
    <t>Значение, принятое в модели</t>
  </si>
  <si>
    <t>Вкладка «Исходные данные», строка «Сокращение трудозатрат аналитика на ревью». Оценка по средним округлена до 30 %.</t>
  </si>
  <si>
    <t>2. СНИЖЕНИЕ ДОЛИ ВОЗВРАТОВ ТЗ — 75 %</t>
  </si>
  <si>
    <t>Статус: допущение. Замера нет, значение задано пользователем. В отличие от раздела 1, за этим числом эксперимент не стоит.</t>
  </si>
  <si>
    <t>Доля ТЗ на повторное ревью, до</t>
  </si>
  <si>
    <t>Доля ТЗ на повторное ревью, после</t>
  </si>
  <si>
    <t>ТЗ на повторном ревью в месяц: было, стало</t>
  </si>
  <si>
    <t>На что опирается допущение</t>
  </si>
  <si>
    <t>ЧЕМ ПРОВЕРЯЕТСЯ ДОПУЩЕНИЕ О ВОЗВРАТАХ</t>
  </si>
  <si>
    <t>Считать долю ТЗ, возвращённых разработчиком автору, за период до внедрения и за сопоставимый период после, при одной и той же единице учёта возврата.</t>
  </si>
  <si>
    <t>Отдельно фиксировать причину возврата: неясность в тексте ТЗ или внешняя причина. Без этого нельзя отличить эффект инструмента от изменения потока задач.</t>
  </si>
  <si>
    <t>Инструмент влияет на возвраты одним каналом: часть неоднозначностей автор устраняет до передачи ТЗ разработчику.</t>
  </si>
  <si>
    <t>75 % означают, что три четверти возвратов вызваны тем, что инструмент умеет находить, и что он находит это почти всегда.</t>
  </si>
  <si>
    <t>До появления этих двух чисел строка «Сокращение доли повторных ревью» остаётся допущением.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</si>
</sst>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* #,##0.00\ &quot;₽&quot;_-;\-* #,##0.00\ &quot;₽&quot;_-;_-* &quot;-&quot;??\ &quot;₽&quot;_-;_-@_-"/>
    <numFmt numFmtId="164" formatCode="0.0"/>
    <numFmt numFmtId="165" formatCode="0.0%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name val="Calibri"/>
      <family val="2"/>
      <charset val="204"/>
    </font>
    <font>
      <b/>
      <sz val="11"/>
      <name val="Calibri"/>
      <family val="2"/>
      <charset val="20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/>
    <xf numFmtId="9" fontId="1" fillId="0" borderId="0"/>
  </cellStyleXfs>
  <cellXfs count="16">
    <xf numFmtId="0" fontId="0" fillId="0" borderId="0" xfId="0"/>
    <xf numFmtId="9" fontId="0" fillId="0" borderId="0" xfId="2" applyFont="1"/>
    <xf numFmtId="0" fontId="2" fillId="0" borderId="0" xfId="0" applyFont="1"/>
    <xf numFmtId="2" fontId="0" fillId="0" borderId="0" xfId="0" applyNumberFormat="1"/>
    <xf numFmtId="9" fontId="0" fillId="0" borderId="0" xfId="0" applyNumberFormat="1"/>
    <xf numFmtId="0" fontId="3" fillId="0" borderId="0" xfId="0" applyFont="1"/>
    <xf numFmtId="2" fontId="3" fillId="0" borderId="0" xfId="0" applyNumberFormat="1" applyFont="1"/>
    <xf numFmtId="9" fontId="1" fillId="0" borderId="0" xfId="2"/>
    <xf numFmtId="44" fontId="0" fillId="0" borderId="0" xfId="1" applyFont="1"/>
    <xf numFmtId="164" fontId="0" fillId="0" borderId="0" xfId="0" applyNumberFormat="1"/>
    <xf numFmtId="44" fontId="0" fillId="0" borderId="0" xfId="0" applyNumberFormat="1"/>
    <xf numFmtId="44" fontId="3" fillId="0" borderId="0" xfId="0" applyNumberFormat="1" applyFont="1"/>
    <xf numFmtId="165" fontId="1" fillId="0" borderId="0" xfId="2" applyNumberFormat="1"/>
    <xf numFmtId="0" fontId="4" fillId="0" borderId="0" xfId="0" applyFont="1"/>
    <xf numFmtId="165" fontId="0" fillId="0" borderId="0" xfId="0" applyNumberFormat="1"/>
    <xf numFmtId="165" fontId="4" fillId="0" borderId="0" xfId="0" applyNumberFormat="1" applyFont="1"/>
  </cellXfs>
  <cellStyles count="3">
    <cellStyle name="Денежный" xfId="1" builtinId="4"/>
    <cellStyle name="Обычный" xfId="0" builtinId="0"/>
    <cellStyle name="Процентный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4"/>
  <sheetViews>
    <sheetView workbookViewId="0">
      <selection activeCell="A24" sqref="A24"/>
    </sheetView>
  </sheetViews>
  <sheetFormatPr defaultRowHeight="14.4" x14ac:dyDescent="0.3"/>
  <cols>
    <col min="1" max="1" width="52" customWidth="1"/>
    <col min="2" max="2" width="14" customWidth="1"/>
    <col min="3" max="3" width="72" customWidth="1"/>
  </cols>
  <sheetData>
    <row r="1" spans="1:3" x14ac:dyDescent="0.3">
      <c r="A1" s="2" t="s">
        <v>0</v>
      </c>
      <c r="B1" s="2" t="s">
        <v>1</v>
      </c>
      <c r="C1" s="2" t="s">
        <v>2</v>
      </c>
    </row>
    <row r="2" spans="1:3" x14ac:dyDescent="0.3">
      <c r="A2" t="s">
        <v>3</v>
      </c>
      <c r="B2" s="8">
        <v>204441</v>
      </c>
      <c r="C2" t="s">
        <v>4</v>
      </c>
    </row>
    <row r="3" spans="1:3" x14ac:dyDescent="0.3">
      <c r="A3" t="s">
        <v>5</v>
      </c>
      <c r="B3" s="8">
        <v>220833</v>
      </c>
      <c r="C3" t="s">
        <v>6</v>
      </c>
    </row>
    <row r="4" spans="1:3" x14ac:dyDescent="0.3">
      <c r="A4" t="s">
        <v>7</v>
      </c>
      <c r="B4" s="1">
        <v>0.3</v>
      </c>
      <c r="C4" t="s">
        <v>8</v>
      </c>
    </row>
    <row r="5" spans="1:3" x14ac:dyDescent="0.3">
      <c r="A5" t="s">
        <v>9</v>
      </c>
      <c r="B5">
        <v>1972</v>
      </c>
      <c r="C5" t="s">
        <v>10</v>
      </c>
    </row>
    <row r="6" spans="1:3" x14ac:dyDescent="0.3">
      <c r="A6" t="s">
        <v>11</v>
      </c>
      <c r="B6" s="3">
        <f>B5/12</f>
        <v>164.33333333333334</v>
      </c>
      <c r="C6" t="s">
        <v>12</v>
      </c>
    </row>
    <row r="7" spans="1:3" x14ac:dyDescent="0.3">
      <c r="A7" t="s">
        <v>13</v>
      </c>
      <c r="B7" s="8">
        <f>ROUND(B2*(1+B4)/B6,0)</f>
        <v>1617</v>
      </c>
      <c r="C7" t="s">
        <v>14</v>
      </c>
    </row>
    <row r="8" spans="1:3" x14ac:dyDescent="0.3">
      <c r="A8" t="s">
        <v>15</v>
      </c>
      <c r="B8" s="8">
        <f>ROUND(B3*(1+B4)/B6,0)</f>
        <v>1747</v>
      </c>
      <c r="C8" t="s">
        <v>14</v>
      </c>
    </row>
    <row r="9" spans="1:3" x14ac:dyDescent="0.3">
      <c r="A9" t="s">
        <v>16</v>
      </c>
      <c r="B9" s="8">
        <v>230500</v>
      </c>
      <c r="C9" t="s">
        <v>17</v>
      </c>
    </row>
    <row r="10" spans="1:3" x14ac:dyDescent="0.3">
      <c r="A10" t="s">
        <v>18</v>
      </c>
      <c r="B10" s="8">
        <f>ROUND(B9*(1+B4)/B6,0)</f>
        <v>1823</v>
      </c>
      <c r="C10" t="s">
        <v>14</v>
      </c>
    </row>
    <row r="12" spans="1:3" x14ac:dyDescent="0.3">
      <c r="A12" t="s">
        <v>19</v>
      </c>
    </row>
    <row r="13" spans="1:3" x14ac:dyDescent="0.3">
      <c r="A13" t="s">
        <v>20</v>
      </c>
    </row>
    <row r="14" spans="1:3" x14ac:dyDescent="0.3">
      <c r="A14" t="s">
        <v>21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5"/>
  <sheetViews>
    <sheetView workbookViewId="0">
      <selection activeCell="A27" sqref="A27"/>
    </sheetView>
  </sheetViews>
  <sheetFormatPr defaultRowHeight="14.4" x14ac:dyDescent="0.3"/>
  <cols>
    <col min="1" max="1" width="46" customWidth="1"/>
    <col min="2" max="2" width="14" customWidth="1"/>
  </cols>
  <sheetData>
    <row r="1" spans="1:2" x14ac:dyDescent="0.3">
      <c r="A1" s="5" t="s">
        <v>0</v>
      </c>
      <c r="B1" s="5" t="s">
        <v>1</v>
      </c>
    </row>
    <row r="2" spans="1:2" x14ac:dyDescent="0.3">
      <c r="A2" t="s">
        <v>22</v>
      </c>
      <c r="B2" s="9">
        <v>10</v>
      </c>
    </row>
    <row r="3" spans="1:2" x14ac:dyDescent="0.3">
      <c r="A3" t="s">
        <v>23</v>
      </c>
      <c r="B3" s="4">
        <v>0.4</v>
      </c>
    </row>
    <row r="4" spans="1:2" x14ac:dyDescent="0.3">
      <c r="A4" t="s">
        <v>24</v>
      </c>
      <c r="B4" s="3">
        <v>2</v>
      </c>
    </row>
    <row r="5" spans="1:2" x14ac:dyDescent="0.3">
      <c r="A5" t="s">
        <v>25</v>
      </c>
      <c r="B5" s="3">
        <v>0</v>
      </c>
    </row>
    <row r="6" spans="1:2" x14ac:dyDescent="0.3">
      <c r="A6" t="s">
        <v>26</v>
      </c>
      <c r="B6" s="3">
        <v>2</v>
      </c>
    </row>
    <row r="7" spans="1:2" x14ac:dyDescent="0.3">
      <c r="A7" t="s">
        <v>27</v>
      </c>
      <c r="B7" s="3">
        <v>1</v>
      </c>
    </row>
    <row r="8" spans="1:2" x14ac:dyDescent="0.3">
      <c r="A8" t="s">
        <v>13</v>
      </c>
      <c r="B8" s="10">
        <f>'База ставок'!B7</f>
        <v>1617</v>
      </c>
    </row>
    <row r="9" spans="1:2" x14ac:dyDescent="0.3">
      <c r="A9" t="s">
        <v>15</v>
      </c>
      <c r="B9" s="10">
        <f>'База ставок'!B8</f>
        <v>1747</v>
      </c>
    </row>
    <row r="10" spans="1:2" x14ac:dyDescent="0.3">
      <c r="A10" t="s">
        <v>28</v>
      </c>
      <c r="B10" s="4">
        <v>0.3</v>
      </c>
    </row>
    <row r="11" spans="1:2" x14ac:dyDescent="0.3">
      <c r="A11" t="s">
        <v>29</v>
      </c>
      <c r="B11" s="4">
        <v>0.3</v>
      </c>
    </row>
    <row r="12" spans="1:2" x14ac:dyDescent="0.3">
      <c r="A12" t="s">
        <v>30</v>
      </c>
      <c r="B12" s="4">
        <v>0.75</v>
      </c>
    </row>
    <row r="14" spans="1:2" x14ac:dyDescent="0.3">
      <c r="A14" t="s">
        <v>31</v>
      </c>
    </row>
    <row r="15" spans="1:2" x14ac:dyDescent="0.3">
      <c r="A15" t="s">
        <v>32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38"/>
  <sheetViews>
    <sheetView topLeftCell="A13" workbookViewId="0">
      <selection activeCell="E25" sqref="E25"/>
    </sheetView>
  </sheetViews>
  <sheetFormatPr defaultRowHeight="14.4" x14ac:dyDescent="0.3"/>
  <cols>
    <col min="1" max="1" width="44" customWidth="1"/>
    <col min="2" max="3" width="15" customWidth="1"/>
  </cols>
  <sheetData>
    <row r="1" spans="1:3" x14ac:dyDescent="0.3">
      <c r="A1" s="5" t="s">
        <v>33</v>
      </c>
      <c r="B1" s="5" t="s">
        <v>34</v>
      </c>
      <c r="C1" s="5" t="s">
        <v>35</v>
      </c>
    </row>
    <row r="2" spans="1:3" x14ac:dyDescent="0.3">
      <c r="A2" t="s">
        <v>22</v>
      </c>
      <c r="B2" s="9">
        <f>'Исходные данные'!B2</f>
        <v>10</v>
      </c>
      <c r="C2" s="9">
        <f>B2</f>
        <v>10</v>
      </c>
    </row>
    <row r="3" spans="1:3" x14ac:dyDescent="0.3">
      <c r="A3" t="s">
        <v>13</v>
      </c>
      <c r="B3" s="10">
        <f>'Исходные данные'!B8</f>
        <v>1617</v>
      </c>
      <c r="C3" s="10">
        <f>B3</f>
        <v>1617</v>
      </c>
    </row>
    <row r="4" spans="1:3" x14ac:dyDescent="0.3">
      <c r="A4" t="s">
        <v>15</v>
      </c>
      <c r="B4" s="10">
        <f>'Исходные данные'!B9</f>
        <v>1747</v>
      </c>
      <c r="C4" s="10">
        <f>B4</f>
        <v>1747</v>
      </c>
    </row>
    <row r="6" spans="1:3" x14ac:dyDescent="0.3">
      <c r="A6" s="5" t="s">
        <v>36</v>
      </c>
    </row>
    <row r="7" spans="1:3" x14ac:dyDescent="0.3">
      <c r="A7" t="s">
        <v>37</v>
      </c>
      <c r="B7" s="3">
        <f>'Исходные данные'!B4</f>
        <v>2</v>
      </c>
      <c r="C7" s="3">
        <f>(1-'Исходные данные'!B10)*B7</f>
        <v>1.4</v>
      </c>
    </row>
    <row r="8" spans="1:3" x14ac:dyDescent="0.3">
      <c r="A8" t="s">
        <v>38</v>
      </c>
      <c r="B8" s="3">
        <f>'Исходные данные'!B5</f>
        <v>0</v>
      </c>
      <c r="C8" s="3">
        <f>(1-'Исходные данные'!B11)*B8</f>
        <v>0</v>
      </c>
    </row>
    <row r="9" spans="1:3" x14ac:dyDescent="0.3">
      <c r="A9" t="s">
        <v>39</v>
      </c>
      <c r="B9" s="10">
        <f>B7*B3+B8*B4</f>
        <v>3234</v>
      </c>
      <c r="C9" s="10">
        <f>C7*C3+C8*C4</f>
        <v>2263.7999999999997</v>
      </c>
    </row>
    <row r="10" spans="1:3" x14ac:dyDescent="0.3">
      <c r="A10" t="s">
        <v>40</v>
      </c>
      <c r="B10" s="9">
        <f>B2</f>
        <v>10</v>
      </c>
      <c r="C10" s="9">
        <f>C2</f>
        <v>10</v>
      </c>
    </row>
    <row r="11" spans="1:3" x14ac:dyDescent="0.3">
      <c r="A11" s="5" t="s">
        <v>41</v>
      </c>
      <c r="B11" s="11">
        <f>B10*B9</f>
        <v>32340</v>
      </c>
      <c r="C11" s="11">
        <f>C10*C9</f>
        <v>22637.999999999996</v>
      </c>
    </row>
    <row r="13" spans="1:3" x14ac:dyDescent="0.3">
      <c r="A13" s="5" t="s">
        <v>42</v>
      </c>
    </row>
    <row r="14" spans="1:3" x14ac:dyDescent="0.3">
      <c r="A14" t="s">
        <v>43</v>
      </c>
      <c r="B14" s="4">
        <f>'Исходные данные'!B3</f>
        <v>0.4</v>
      </c>
      <c r="C14" s="4">
        <f>B14*(1-'Исходные данные'!B12)</f>
        <v>0.1</v>
      </c>
    </row>
    <row r="15" spans="1:3" x14ac:dyDescent="0.3">
      <c r="A15" t="s">
        <v>37</v>
      </c>
      <c r="B15" s="3">
        <f>'Исходные данные'!B6</f>
        <v>2</v>
      </c>
      <c r="C15" s="3">
        <f>(1-'Исходные данные'!B10)*B15</f>
        <v>1.4</v>
      </c>
    </row>
    <row r="16" spans="1:3" x14ac:dyDescent="0.3">
      <c r="A16" t="s">
        <v>38</v>
      </c>
      <c r="B16" s="3">
        <f>'Исходные данные'!B7</f>
        <v>1</v>
      </c>
      <c r="C16" s="3">
        <f>(1-'Исходные данные'!B11)*B16</f>
        <v>0.7</v>
      </c>
    </row>
    <row r="17" spans="1:3" x14ac:dyDescent="0.3">
      <c r="A17" t="s">
        <v>44</v>
      </c>
      <c r="B17" s="10">
        <f>B15*B3+B16*B4</f>
        <v>4981</v>
      </c>
      <c r="C17" s="10">
        <f>C15*C3+C16*C4</f>
        <v>3486.7</v>
      </c>
    </row>
    <row r="18" spans="1:3" x14ac:dyDescent="0.3">
      <c r="A18" t="s">
        <v>40</v>
      </c>
      <c r="B18" s="9">
        <f>B2*B14</f>
        <v>4</v>
      </c>
      <c r="C18" s="9">
        <f>C2*C14</f>
        <v>1</v>
      </c>
    </row>
    <row r="19" spans="1:3" x14ac:dyDescent="0.3">
      <c r="A19" s="5" t="s">
        <v>45</v>
      </c>
      <c r="B19" s="11">
        <f>B18*B17</f>
        <v>19924</v>
      </c>
      <c r="C19" s="11">
        <f>C18*C17</f>
        <v>3486.7</v>
      </c>
    </row>
    <row r="21" spans="1:3" x14ac:dyDescent="0.3">
      <c r="A21" s="5" t="s">
        <v>46</v>
      </c>
    </row>
    <row r="22" spans="1:3" x14ac:dyDescent="0.3">
      <c r="A22" s="5" t="s">
        <v>47</v>
      </c>
      <c r="B22" s="11">
        <f>B11+B19</f>
        <v>52264</v>
      </c>
      <c r="C22" s="11">
        <f>C11+C19</f>
        <v>26124.699999999997</v>
      </c>
    </row>
    <row r="23" spans="1:3" x14ac:dyDescent="0.3">
      <c r="A23" s="5" t="s">
        <v>48</v>
      </c>
      <c r="B23" s="5"/>
      <c r="C23" s="11">
        <f>B22-C22</f>
        <v>26139.300000000003</v>
      </c>
    </row>
    <row r="24" spans="1:3" x14ac:dyDescent="0.3">
      <c r="A24" s="5" t="s">
        <v>49</v>
      </c>
      <c r="B24" s="5"/>
      <c r="C24" s="11">
        <f>C23*12</f>
        <v>313671.60000000003</v>
      </c>
    </row>
    <row r="26" spans="1:3" x14ac:dyDescent="0.3">
      <c r="A26" t="s">
        <v>50</v>
      </c>
      <c r="B26" s="3">
        <f>B10*B7+B18*B15</f>
        <v>28</v>
      </c>
      <c r="C26" s="3">
        <f>C10*C7+C18*C15</f>
        <v>15.4</v>
      </c>
    </row>
    <row r="27" spans="1:3" x14ac:dyDescent="0.3">
      <c r="A27" t="s">
        <v>51</v>
      </c>
      <c r="B27" s="3">
        <f>B10*B8+B18*B16</f>
        <v>4</v>
      </c>
      <c r="C27" s="3">
        <f>C10*C8+C18*C16</f>
        <v>0.7</v>
      </c>
    </row>
    <row r="28" spans="1:3" x14ac:dyDescent="0.3">
      <c r="A28" s="5" t="s">
        <v>52</v>
      </c>
      <c r="B28" s="6">
        <f>B26+B27</f>
        <v>32</v>
      </c>
      <c r="C28" s="6">
        <f>C26+C27</f>
        <v>16.100000000000001</v>
      </c>
    </row>
    <row r="29" spans="1:3" x14ac:dyDescent="0.3">
      <c r="A29" s="5" t="s">
        <v>53</v>
      </c>
      <c r="B29" s="5"/>
      <c r="C29" s="6">
        <f>B28-C28</f>
        <v>15.899999999999999</v>
      </c>
    </row>
    <row r="30" spans="1:3" x14ac:dyDescent="0.3">
      <c r="A30" s="5" t="s">
        <v>54</v>
      </c>
      <c r="B30" s="5"/>
      <c r="C30" s="6">
        <f>C29*12</f>
        <v>190.79999999999998</v>
      </c>
    </row>
    <row r="32" spans="1:3" x14ac:dyDescent="0.3">
      <c r="A32" s="5" t="s">
        <v>55</v>
      </c>
    </row>
    <row r="33" spans="1:1" x14ac:dyDescent="0.3">
      <c r="A33" t="s">
        <v>56</v>
      </c>
    </row>
    <row r="34" spans="1:1" x14ac:dyDescent="0.3">
      <c r="A34" t="s">
        <v>57</v>
      </c>
    </row>
    <row r="35" spans="1:1" x14ac:dyDescent="0.3">
      <c r="A35" t="s">
        <v>58</v>
      </c>
    </row>
    <row r="36" spans="1:1" x14ac:dyDescent="0.3">
      <c r="A36" t="s">
        <v>59</v>
      </c>
    </row>
    <row r="38" spans="1:1" x14ac:dyDescent="0.3">
      <c r="A38" s="5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38"/>
  <sheetViews>
    <sheetView tabSelected="1" topLeftCell="A13" workbookViewId="0">
      <selection activeCell="B44" sqref="B44"/>
    </sheetView>
  </sheetViews>
  <sheetFormatPr defaultRowHeight="14.4" x14ac:dyDescent="0.3"/>
  <cols>
    <col min="1" max="1" width="54" customWidth="1"/>
    <col min="2" max="2" width="16" customWidth="1"/>
    <col min="3" max="3" width="88" customWidth="1"/>
  </cols>
  <sheetData>
    <row r="1" spans="1:3" x14ac:dyDescent="0.3">
      <c r="A1" s="2" t="s">
        <v>0</v>
      </c>
      <c r="B1" s="2" t="s">
        <v>1</v>
      </c>
      <c r="C1" s="2" t="s">
        <v>2</v>
      </c>
    </row>
    <row r="2" spans="1:3" x14ac:dyDescent="0.3">
      <c r="A2" s="5" t="s">
        <v>60</v>
      </c>
    </row>
    <row r="3" spans="1:3" x14ac:dyDescent="0.3">
      <c r="A3" t="s">
        <v>61</v>
      </c>
      <c r="B3" s="8">
        <f>'База ставок'!B10</f>
        <v>1823</v>
      </c>
      <c r="C3" t="s">
        <v>62</v>
      </c>
    </row>
    <row r="4" spans="1:3" x14ac:dyDescent="0.3">
      <c r="A4" t="s">
        <v>63</v>
      </c>
      <c r="B4" s="8">
        <f>'База ставок'!B7</f>
        <v>1617</v>
      </c>
      <c r="C4" t="s">
        <v>64</v>
      </c>
    </row>
    <row r="7" spans="1:3" x14ac:dyDescent="0.3">
      <c r="A7" s="5" t="s">
        <v>65</v>
      </c>
    </row>
    <row r="8" spans="1:3" x14ac:dyDescent="0.3">
      <c r="A8" t="s">
        <v>66</v>
      </c>
      <c r="B8">
        <v>32</v>
      </c>
      <c r="C8" t="s">
        <v>67</v>
      </c>
    </row>
    <row r="9" spans="1:3" x14ac:dyDescent="0.3">
      <c r="A9" t="s">
        <v>68</v>
      </c>
      <c r="B9">
        <v>24</v>
      </c>
      <c r="C9" t="s">
        <v>69</v>
      </c>
    </row>
    <row r="10" spans="1:3" x14ac:dyDescent="0.3">
      <c r="A10" t="s">
        <v>70</v>
      </c>
      <c r="B10">
        <v>16</v>
      </c>
      <c r="C10" t="s">
        <v>71</v>
      </c>
    </row>
    <row r="11" spans="1:3" x14ac:dyDescent="0.3">
      <c r="A11" t="s">
        <v>72</v>
      </c>
      <c r="B11">
        <v>8</v>
      </c>
      <c r="C11" t="s">
        <v>73</v>
      </c>
    </row>
    <row r="12" spans="1:3" x14ac:dyDescent="0.3">
      <c r="A12" t="s">
        <v>74</v>
      </c>
      <c r="B12">
        <f>SUM(B8:B11)</f>
        <v>80</v>
      </c>
    </row>
    <row r="13" spans="1:3" x14ac:dyDescent="0.3">
      <c r="A13" t="s">
        <v>75</v>
      </c>
      <c r="B13" s="11">
        <f>(B8+B9)*B3+(B10+B11)*B4</f>
        <v>140896</v>
      </c>
      <c r="C13" t="s">
        <v>76</v>
      </c>
    </row>
    <row r="15" spans="1:3" x14ac:dyDescent="0.3">
      <c r="A15" s="5" t="s">
        <v>77</v>
      </c>
    </row>
    <row r="16" spans="1:3" x14ac:dyDescent="0.3">
      <c r="A16" t="s">
        <v>78</v>
      </c>
      <c r="B16">
        <v>2</v>
      </c>
      <c r="C16" t="s">
        <v>79</v>
      </c>
    </row>
    <row r="17" spans="1:3" x14ac:dyDescent="0.3">
      <c r="A17" t="s">
        <v>80</v>
      </c>
      <c r="B17">
        <v>2</v>
      </c>
      <c r="C17" t="s">
        <v>81</v>
      </c>
    </row>
    <row r="18" spans="1:3" x14ac:dyDescent="0.3">
      <c r="A18" t="s">
        <v>82</v>
      </c>
      <c r="B18" s="8">
        <f>B16*B3+B17*B4</f>
        <v>6880</v>
      </c>
    </row>
    <row r="19" spans="1:3" x14ac:dyDescent="0.3">
      <c r="A19" t="s">
        <v>83</v>
      </c>
      <c r="B19" s="11">
        <f>B18</f>
        <v>6880</v>
      </c>
    </row>
    <row r="21" spans="1:3" x14ac:dyDescent="0.3">
      <c r="A21" s="5" t="s">
        <v>84</v>
      </c>
    </row>
    <row r="22" spans="1:3" x14ac:dyDescent="0.3">
      <c r="A22" t="s">
        <v>85</v>
      </c>
      <c r="B22" s="8">
        <f>'Экономический эффект'!C23</f>
        <v>26139.300000000003</v>
      </c>
      <c r="C22" t="s">
        <v>86</v>
      </c>
    </row>
    <row r="23" spans="1:3" x14ac:dyDescent="0.3">
      <c r="A23" t="s">
        <v>87</v>
      </c>
      <c r="B23" s="11">
        <f>B22-B19</f>
        <v>19259.300000000003</v>
      </c>
      <c r="C23" t="s">
        <v>88</v>
      </c>
    </row>
    <row r="24" spans="1:3" x14ac:dyDescent="0.3">
      <c r="A24" t="s">
        <v>89</v>
      </c>
      <c r="B24" s="11">
        <f>B23*12</f>
        <v>231111.60000000003</v>
      </c>
    </row>
    <row r="25" spans="1:3" x14ac:dyDescent="0.3">
      <c r="A25" t="s">
        <v>90</v>
      </c>
      <c r="B25" s="9">
        <f>B13/B23</f>
        <v>7.3157383705534462</v>
      </c>
      <c r="C25" t="s">
        <v>91</v>
      </c>
    </row>
    <row r="26" spans="1:3" x14ac:dyDescent="0.3">
      <c r="A26" t="s">
        <v>92</v>
      </c>
      <c r="B26" s="11">
        <f>B24-B13</f>
        <v>90215.600000000035</v>
      </c>
      <c r="C26" t="s">
        <v>93</v>
      </c>
    </row>
    <row r="28" spans="1:3" x14ac:dyDescent="0.3">
      <c r="A28" s="5" t="s">
        <v>94</v>
      </c>
    </row>
    <row r="29" spans="1:3" x14ac:dyDescent="0.3">
      <c r="A29" t="s">
        <v>95</v>
      </c>
      <c r="B29" s="8">
        <f>B22*12</f>
        <v>313671.60000000003</v>
      </c>
    </row>
    <row r="30" spans="1:3" x14ac:dyDescent="0.3">
      <c r="A30" t="s">
        <v>96</v>
      </c>
      <c r="B30" s="12">
        <f>'Расчёт ком. эффективности'!C6/'Расчёт ком. эффективности'!B3</f>
        <v>0.6402992277992281</v>
      </c>
    </row>
    <row r="31" spans="1:3" x14ac:dyDescent="0.3">
      <c r="A31" t="s">
        <v>97</v>
      </c>
      <c r="B31" s="7">
        <f>'Расчёт ком. эффективности'!E6/'Расчёт ком. эффективности'!B3</f>
        <v>3.9208976833976839</v>
      </c>
    </row>
    <row r="32" spans="1:3" x14ac:dyDescent="0.3">
      <c r="B32" s="9"/>
    </row>
    <row r="34" spans="1:1" x14ac:dyDescent="0.3">
      <c r="A34" t="s">
        <v>98</v>
      </c>
    </row>
    <row r="35" spans="1:1" x14ac:dyDescent="0.3">
      <c r="A35" t="s">
        <v>99</v>
      </c>
    </row>
    <row r="36" spans="1:1" x14ac:dyDescent="0.3">
      <c r="A36" t="s">
        <v>100</v>
      </c>
    </row>
    <row r="37" spans="1:1" x14ac:dyDescent="0.3">
      <c r="A37" t="s">
        <v>101</v>
      </c>
    </row>
    <row r="38" spans="1:1" x14ac:dyDescent="0.3">
      <c r="A38" t="s">
        <v>102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6"/>
  <sheetViews>
    <sheetView workbookViewId="0">
      <selection activeCell="D14" sqref="D14"/>
    </sheetView>
  </sheetViews>
  <sheetFormatPr defaultRowHeight="14.4" x14ac:dyDescent="0.3"/>
  <cols>
    <col min="1" max="1" width="29.21875" bestFit="1" customWidth="1"/>
    <col min="2" max="5" width="12.6640625" bestFit="1" customWidth="1"/>
  </cols>
  <sheetData>
    <row r="1" spans="1:5" x14ac:dyDescent="0.3">
      <c r="A1" t="s">
        <v>103</v>
      </c>
      <c r="B1">
        <v>0</v>
      </c>
      <c r="C1">
        <v>1</v>
      </c>
      <c r="D1">
        <v>2</v>
      </c>
      <c r="E1">
        <v>3</v>
      </c>
    </row>
    <row r="3" spans="1:5" x14ac:dyDescent="0.3">
      <c r="A3" t="s">
        <v>104</v>
      </c>
      <c r="B3" s="8">
        <f>'Внедрение и эксплуатация'!B13</f>
        <v>140896</v>
      </c>
      <c r="C3" s="8"/>
      <c r="D3" s="8"/>
      <c r="E3" s="8"/>
    </row>
    <row r="4" spans="1:5" x14ac:dyDescent="0.3">
      <c r="A4" t="s">
        <v>105</v>
      </c>
      <c r="B4" s="8"/>
      <c r="C4" s="8">
        <f>'Внедрение и эксплуатация'!$B$24</f>
        <v>231111.60000000003</v>
      </c>
      <c r="D4" s="8">
        <f>'Внедрение и эксплуатация'!$B$24</f>
        <v>231111.60000000003</v>
      </c>
      <c r="E4" s="8">
        <f>'Внедрение и эксплуатация'!$B$24</f>
        <v>231111.60000000003</v>
      </c>
    </row>
    <row r="5" spans="1:5" x14ac:dyDescent="0.3">
      <c r="A5" t="s">
        <v>106</v>
      </c>
      <c r="B5" s="8">
        <f>B4-B3</f>
        <v>-140896</v>
      </c>
      <c r="C5" s="8">
        <f>C4-C3</f>
        <v>231111.60000000003</v>
      </c>
      <c r="D5" s="8">
        <f>D4-D3</f>
        <v>231111.60000000003</v>
      </c>
      <c r="E5" s="8">
        <f>E4-E3</f>
        <v>231111.60000000003</v>
      </c>
    </row>
    <row r="6" spans="1:5" x14ac:dyDescent="0.3">
      <c r="A6" t="s">
        <v>107</v>
      </c>
      <c r="C6" s="10">
        <f>C5+B5</f>
        <v>90215.600000000035</v>
      </c>
      <c r="D6" s="10">
        <f>D5+C6</f>
        <v>321327.20000000007</v>
      </c>
      <c r="E6" s="10">
        <f>E5+D6</f>
        <v>552438.80000000005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28"/>
  <sheetViews>
    <sheetView workbookViewId="0">
      <selection activeCell="C13" sqref="C13"/>
    </sheetView>
  </sheetViews>
  <sheetFormatPr defaultRowHeight="14.4" x14ac:dyDescent="0.3"/>
  <cols>
    <col min="1" max="1" width="58" customWidth="1"/>
    <col min="2" max="2" width="16" customWidth="1"/>
    <col min="3" max="3" width="92" customWidth="1"/>
    <col min="4" max="4" width="20" customWidth="1"/>
    <col min="5" max="5" width="60" customWidth="1"/>
  </cols>
  <sheetData>
    <row r="1" spans="1:4" x14ac:dyDescent="0.3">
      <c r="A1" s="13" t="s">
        <v>108</v>
      </c>
    </row>
    <row r="2" spans="1:4" x14ac:dyDescent="0.3">
      <c r="A2" t="s">
        <v>109</v>
      </c>
    </row>
    <row r="4" spans="1:4" x14ac:dyDescent="0.3">
      <c r="A4" s="13" t="s">
        <v>110</v>
      </c>
      <c r="B4" s="13" t="s">
        <v>111</v>
      </c>
      <c r="C4" s="13" t="s">
        <v>112</v>
      </c>
      <c r="D4" s="13" t="s">
        <v>113</v>
      </c>
    </row>
    <row r="5" spans="1:4" x14ac:dyDescent="0.3">
      <c r="A5">
        <v>1</v>
      </c>
      <c r="B5" s="9">
        <v>48</v>
      </c>
      <c r="C5" s="9">
        <v>32</v>
      </c>
      <c r="D5" s="14">
        <f>(B5-C5)/B5</f>
        <v>0.33333333333333331</v>
      </c>
    </row>
    <row r="6" spans="1:4" x14ac:dyDescent="0.3">
      <c r="A6">
        <v>2</v>
      </c>
      <c r="B6" s="9">
        <v>45</v>
      </c>
      <c r="C6" s="9">
        <v>35</v>
      </c>
      <c r="D6" s="14">
        <f>(B6-C6)/B6</f>
        <v>0.22222222222222221</v>
      </c>
    </row>
    <row r="7" spans="1:4" x14ac:dyDescent="0.3">
      <c r="A7">
        <v>3</v>
      </c>
      <c r="B7" s="9">
        <v>42</v>
      </c>
      <c r="C7" s="9">
        <v>27</v>
      </c>
      <c r="D7" s="14">
        <f>(B7-C7)/B7</f>
        <v>0.35714285714285715</v>
      </c>
    </row>
    <row r="8" spans="1:4" x14ac:dyDescent="0.3">
      <c r="A8" t="s">
        <v>114</v>
      </c>
      <c r="B8" s="3">
        <f>AVERAGE(B5:B7)</f>
        <v>45</v>
      </c>
      <c r="C8" s="3">
        <f>AVERAGE(C5:C7)</f>
        <v>31.333333333333332</v>
      </c>
    </row>
    <row r="9" spans="1:4" x14ac:dyDescent="0.3">
      <c r="A9" t="s">
        <v>115</v>
      </c>
      <c r="B9" s="3">
        <f>STDEV(B5:B7)</f>
        <v>3</v>
      </c>
      <c r="C9" s="3">
        <f>STDEV(C5:C7)</f>
        <v>4.0414518843273708</v>
      </c>
    </row>
    <row r="10" spans="1:4" x14ac:dyDescent="0.3">
      <c r="A10" t="s">
        <v>116</v>
      </c>
      <c r="B10" s="3">
        <f>B8-C8</f>
        <v>13.666666666666668</v>
      </c>
    </row>
    <row r="11" spans="1:4" x14ac:dyDescent="0.3">
      <c r="A11" s="13" t="s">
        <v>117</v>
      </c>
      <c r="B11" s="15">
        <f>(B8-C8)/B8</f>
        <v>0.30370370370370375</v>
      </c>
    </row>
    <row r="12" spans="1:4" x14ac:dyDescent="0.3">
      <c r="A12" t="s">
        <v>118</v>
      </c>
      <c r="B12" s="4">
        <f>'Исходные данные'!$B$10</f>
        <v>0.3</v>
      </c>
      <c r="C12" t="s">
        <v>119</v>
      </c>
    </row>
    <row r="14" spans="1:4" x14ac:dyDescent="0.3">
      <c r="A14" s="13" t="s">
        <v>120</v>
      </c>
    </row>
    <row r="15" spans="1:4" x14ac:dyDescent="0.3">
      <c r="A15" t="s">
        <v>121</v>
      </c>
    </row>
    <row r="16" spans="1:4" x14ac:dyDescent="0.3">
      <c r="A16" t="s">
        <v>118</v>
      </c>
      <c r="B16" s="4">
        <f>'Исходные данные'!$B$12</f>
        <v>0.75</v>
      </c>
    </row>
    <row r="17" spans="1:3" x14ac:dyDescent="0.3">
      <c r="A17" t="s">
        <v>122</v>
      </c>
      <c r="B17" s="4">
        <f>'Исходные данные'!$B$3</f>
        <v>0.4</v>
      </c>
    </row>
    <row r="18" spans="1:3" x14ac:dyDescent="0.3">
      <c r="A18" t="s">
        <v>123</v>
      </c>
      <c r="B18" s="4">
        <f>B17*(1-B16)</f>
        <v>0.1</v>
      </c>
    </row>
    <row r="19" spans="1:3" x14ac:dyDescent="0.3">
      <c r="A19" t="s">
        <v>124</v>
      </c>
      <c r="B19" s="9">
        <f>'Исходные данные'!$B$2*B17</f>
        <v>4</v>
      </c>
      <c r="C19" s="9">
        <f>'Исходные данные'!$B$2*B18</f>
        <v>1</v>
      </c>
    </row>
    <row r="21" spans="1:3" x14ac:dyDescent="0.3">
      <c r="A21" s="13" t="s">
        <v>125</v>
      </c>
    </row>
    <row r="22" spans="1:3" x14ac:dyDescent="0.3">
      <c r="A22" t="s">
        <v>129</v>
      </c>
    </row>
    <row r="23" spans="1:3" x14ac:dyDescent="0.3">
      <c r="A23" t="s">
        <v>130</v>
      </c>
    </row>
    <row r="25" spans="1:3" x14ac:dyDescent="0.3">
      <c r="A25" s="13" t="s">
        <v>126</v>
      </c>
    </row>
    <row r="26" spans="1:3" x14ac:dyDescent="0.3">
      <c r="A26" t="s">
        <v>127</v>
      </c>
    </row>
    <row r="27" spans="1:3" x14ac:dyDescent="0.3">
      <c r="A27" t="s">
        <v>128</v>
      </c>
    </row>
    <row r="28" spans="1:3" x14ac:dyDescent="0.3">
      <c r="A28" t="s">
        <v>131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База ставок</vt:lpstr>
      <vt:lpstr>Исходные данные</vt:lpstr>
      <vt:lpstr>Экономический эффект</vt:lpstr>
      <vt:lpstr>Внедрение и эксплуатация</vt:lpstr>
      <vt:lpstr>Расчёт ком. эффективности</vt:lpstr>
      <vt:lpstr>Обоснование дельты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Данила Сараев</dc:creator>
  <cp:lastModifiedBy>Сараев Данила</cp:lastModifiedBy>
  <dcterms:created xsi:type="dcterms:W3CDTF">2015-06-05T18:19:34Z</dcterms:created>
  <dcterms:modified xsi:type="dcterms:W3CDTF">2026-09-06T20:15:54Z</dcterms:modified>
</cp:coreProperties>
</file>